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APS AUTOMATIZACIONES\aps\activos\"/>
    </mc:Choice>
  </mc:AlternateContent>
  <xr:revisionPtr revIDLastSave="0" documentId="13_ncr:1_{578E80A9-9D56-4D87-AF17-B5BFDA6E30BE}" xr6:coauthVersionLast="47" xr6:coauthVersionMax="47" xr10:uidLastSave="{00000000-0000-0000-0000-000000000000}"/>
  <bookViews>
    <workbookView xWindow="-120" yWindow="-120" windowWidth="29040" windowHeight="15720" xr2:uid="{00000000-000D-0000-FFFF-FFFF00000000}"/>
  </bookViews>
  <sheets>
    <sheet name="Hoja1" sheetId="2" r:id="rId1"/>
    <sheet name="Hoja2" sheetId="3" r:id="rId2"/>
    <sheet name="Sheet1" sheetId="1" r:id="rId3"/>
  </sheets>
  <externalReferences>
    <externalReference r:id="rId4"/>
    <externalReference r:id="rId5"/>
  </externalReferences>
  <definedNames>
    <definedName name="_xlnm._FilterDatabase" localSheetId="0" hidden="1">Hoja1!$A$1:$Q$224</definedName>
    <definedName name="_xlnm._FilterDatabase" localSheetId="2" hidden="1">Sheet1!$A$1:$M$314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8Z07VdYxHzKxGqe5juO865a6eAxtL4T/jYFgKebF2M="/>
    </ext>
  </extLst>
</workbook>
</file>

<file path=xl/calcChain.xml><?xml version="1.0" encoding="utf-8"?>
<calcChain xmlns="http://schemas.openxmlformats.org/spreadsheetml/2006/main">
  <c r="G2" i="2" l="1" a="1"/>
  <c r="G2"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5" i="2"/>
  <c r="E106" i="2"/>
  <c r="E107" i="2"/>
  <c r="E108" i="2"/>
  <c r="E109" i="2"/>
  <c r="E110" i="2"/>
  <c r="E111" i="2"/>
  <c r="E112" i="2"/>
  <c r="E113" i="2"/>
  <c r="E114" i="2"/>
  <c r="E115" i="2"/>
  <c r="E116" i="2"/>
  <c r="E117" i="2"/>
  <c r="E118" i="2"/>
  <c r="E119" i="2"/>
  <c r="E120" i="2"/>
  <c r="E121" i="2"/>
  <c r="E122" i="2"/>
  <c r="E123" i="2"/>
  <c r="E124" i="2"/>
  <c r="E125" i="2"/>
  <c r="E127" i="2"/>
  <c r="E128" i="2"/>
  <c r="E129" i="2"/>
  <c r="E130" i="2"/>
  <c r="E131" i="2"/>
  <c r="E132" i="2"/>
  <c r="E133" i="2"/>
  <c r="E134" i="2"/>
  <c r="E135" i="2"/>
  <c r="E136" i="2"/>
  <c r="E137" i="2"/>
  <c r="E138" i="2"/>
  <c r="E139" i="2"/>
  <c r="E140" i="2"/>
  <c r="E141" i="2"/>
  <c r="E142" i="2"/>
  <c r="E143" i="2"/>
  <c r="E144" i="2"/>
  <c r="E145"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5" i="2"/>
  <c r="E186" i="2"/>
  <c r="E187" i="2"/>
  <c r="E188" i="2"/>
  <c r="E189" i="2"/>
  <c r="E190" i="2"/>
  <c r="E192" i="2"/>
  <c r="E193" i="2"/>
  <c r="E194" i="2"/>
  <c r="E195" i="2"/>
  <c r="E197" i="2"/>
  <c r="E198" i="2"/>
  <c r="E199" i="2"/>
  <c r="E200" i="2"/>
  <c r="E201" i="2"/>
  <c r="E202" i="2"/>
  <c r="E203" i="2"/>
  <c r="E204" i="2"/>
  <c r="E205" i="2"/>
  <c r="E206" i="2"/>
  <c r="E207" i="2"/>
  <c r="E208" i="2"/>
  <c r="E209" i="2"/>
  <c r="E210" i="2"/>
  <c r="E211" i="2"/>
  <c r="E212" i="2"/>
  <c r="E213" i="2"/>
  <c r="E214" i="2"/>
  <c r="E215" i="2"/>
  <c r="E216" i="2"/>
  <c r="E218" i="2"/>
  <c r="E219" i="2"/>
  <c r="E220" i="2"/>
  <c r="E221" i="2"/>
  <c r="E222" i="2"/>
  <c r="E223" i="2"/>
  <c r="E224" i="2"/>
  <c r="E2" i="2"/>
  <c r="B1" i="3" a="1"/>
  <c r="B1" i="3" s="1"/>
  <c r="M314" i="1" l="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<sst xmlns="http://schemas.openxmlformats.org/spreadsheetml/2006/main" count="2589" uniqueCount="742">
  <si>
    <t>numero_contrato</t>
  </si>
  <si>
    <t>valor_pagado</t>
  </si>
  <si>
    <t>indicador</t>
  </si>
  <si>
    <t>fecha_inicio_contrato</t>
  </si>
  <si>
    <t>fecha_termino_contrato</t>
  </si>
  <si>
    <t>objeto</t>
  </si>
  <si>
    <t>contratista_tipo_identificacion</t>
  </si>
  <si>
    <t>numero_identificacion</t>
  </si>
  <si>
    <t>nombre_contratista</t>
  </si>
  <si>
    <t>numero_supervisor</t>
  </si>
  <si>
    <t>nombre_supervisor</t>
  </si>
  <si>
    <t>valor_contratado</t>
  </si>
  <si>
    <t>saldo</t>
  </si>
  <si>
    <t>265-2024</t>
  </si>
  <si>
    <t>I</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</si>
  <si>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</si>
  <si>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NI</t>
  </si>
  <si>
    <t>EXPRESO SURAMERICANA DE TURISMO SAS</t>
  </si>
  <si>
    <t>LEYDI MAGALI BENAVIDES BASTIDAS</t>
  </si>
  <si>
    <t>145-2024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</si>
  <si>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</si>
  <si>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CC</t>
  </si>
  <si>
    <t>ANGELA EDITH GONZALEZ PIANDA</t>
  </si>
  <si>
    <t>ALBA LUCIA MORA BENAVIDES</t>
  </si>
  <si>
    <t>146-2024</t>
  </si>
  <si>
    <t>MARIA CAMILA PAREDES TIMANA</t>
  </si>
  <si>
    <t>RIGOBERTO MELO ZAMBRANO</t>
  </si>
  <si>
    <t>147-2024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</si>
  <si>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</si>
  <si>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VICTOR HUGO QUENGUAN BURBANO</t>
  </si>
  <si>
    <t>148-2024</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</si>
  <si>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</si>
  <si>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 xml:space="preserve">ANA VICTORIA ORTEGA GOMEZ </t>
  </si>
  <si>
    <t>RODRIGO DE JESUS VITERI MORENO</t>
  </si>
  <si>
    <t>149-2024</t>
  </si>
  <si>
    <t>AIDE CAROLINA RIASCOS ECHEVERRY</t>
  </si>
  <si>
    <t>150-2024</t>
  </si>
  <si>
    <t>ASTRID CAROLINA CAICEDO LUNA</t>
  </si>
  <si>
    <t>151-2024</t>
  </si>
  <si>
    <t>LAURA SOFIA ROSERO DAVID</t>
  </si>
  <si>
    <t>152-2024</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</si>
  <si>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</si>
  <si>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JOSE FERNANDO CHAÑA QUENGUAN</t>
  </si>
  <si>
    <t>153-2024</t>
  </si>
  <si>
    <t>JHEIBER BRANLLERT DULCE MUÑOZ</t>
  </si>
  <si>
    <t>154-2024</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</si>
  <si>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</si>
  <si>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JIMENA DEL ROSARIO LOPEZ MAYA</t>
  </si>
  <si>
    <t>156-2024</t>
  </si>
  <si>
    <t>NELLY VANESSA ORDOÑEZ BASTIDAS</t>
  </si>
  <si>
    <t>157-2024</t>
  </si>
  <si>
    <t>GERALDINE VIVIANA VILLOTA ARTEAGA</t>
  </si>
  <si>
    <t>158-2024</t>
  </si>
  <si>
    <t>SANDRA LUCERO LOPEZ LOPEZ</t>
  </si>
  <si>
    <t>159-2024</t>
  </si>
  <si>
    <t>ANGIE VIVIANA SACANAMBUY PAZ</t>
  </si>
  <si>
    <t>160-2024</t>
  </si>
  <si>
    <t>ELDER ALFREDO CAMPAÑA IMBAQUIN</t>
  </si>
  <si>
    <t>BERTHA JANETH MONTENEGRO PORTILLA</t>
  </si>
  <si>
    <t>161-2024</t>
  </si>
  <si>
    <t>JHONNY ALEXANDER SEPULVEDA DUERO</t>
  </si>
  <si>
    <t>162-2024</t>
  </si>
  <si>
    <t>MARIA JOSE LEITON ZUTTA</t>
  </si>
  <si>
    <t>163-2024</t>
  </si>
  <si>
    <t>PATRICIA YOLANDA PAZ DELGADO</t>
  </si>
  <si>
    <t>164-2024</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</si>
  <si>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</si>
  <si>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ELIZABETH ALEJANDRA TOBAR MORAN</t>
  </si>
  <si>
    <t>165-2024</t>
  </si>
  <si>
    <t>DIANA CAROLINA ORTEGA CAICEDO</t>
  </si>
  <si>
    <t>166-2024</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</si>
  <si>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</si>
  <si>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JORGE LUIS CARVAJAL GUACHAVEZ</t>
  </si>
  <si>
    <t>167-2024</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</si>
  <si>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</si>
  <si>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FERNANDO ROSERO PATIÑO</t>
  </si>
  <si>
    <t>168-2024</t>
  </si>
  <si>
    <t>MARITZA ROCIO OLIVA CUZ</t>
  </si>
  <si>
    <t>260-2025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</si>
  <si>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</si>
  <si>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FUNDACION CALIDAD DE VIDA Y ESPERANZA - FUNDAESP</t>
  </si>
  <si>
    <t xml:space="preserve">	JUAN CARLOS MERA GUERRERO</t>
  </si>
  <si>
    <t>170-2024</t>
  </si>
  <si>
    <t>PAULA XIMENA CHAVES PASMIÑO</t>
  </si>
  <si>
    <t>171-2024</t>
  </si>
  <si>
    <t>DIANA SOFIA AYALA DIAZ</t>
  </si>
  <si>
    <t>173-2024</t>
  </si>
  <si>
    <t>JAIRO ALBERTO MAIGUAL MIRAMAG</t>
  </si>
  <si>
    <t>174-2024</t>
  </si>
  <si>
    <t>175-2024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</si>
  <si>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</si>
  <si>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DARLLY ROXANA ROSERO TIMARAN</t>
  </si>
  <si>
    <t>176-2024</t>
  </si>
  <si>
    <t>MEHILIN NATALIA QUIMBIAMBA ORTIZ</t>
  </si>
  <si>
    <t>177-2024</t>
  </si>
  <si>
    <t>JULIE ANDREA FREIRE MIER</t>
  </si>
  <si>
    <t>178-2024</t>
  </si>
  <si>
    <t>NAYIBI JANED MELO DELGADO</t>
  </si>
  <si>
    <t>211-2024</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</si>
  <si>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</si>
  <si>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FUNDACION CALIDAD DE VIDA Y ESPERANZA</t>
  </si>
  <si>
    <t>CARLOS JULIO ARELLANO RUIZ</t>
  </si>
  <si>
    <t>169-2024</t>
  </si>
  <si>
    <t>DANIEL GERARDO ERAZO OVIEDO</t>
  </si>
  <si>
    <t>198-2024</t>
  </si>
  <si>
    <t>DIDIER RAIMUNDO MENESES GUERRERO</t>
  </si>
  <si>
    <t>199-2024</t>
  </si>
  <si>
    <t>PAOLA ANDREA VELEZ BOLAÑOS</t>
  </si>
  <si>
    <t>206-2024</t>
  </si>
  <si>
    <t>VERONICA SOFIA HUERTAS ARCNIEGAS</t>
  </si>
  <si>
    <t>214-2024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</si>
  <si>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</si>
  <si>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LEIDY CRISTINA RODRIGUEZ LOPEZ</t>
  </si>
  <si>
    <t>218-2024</t>
  </si>
  <si>
    <t>FRANCISCO RAFAEL ORTIZ BENITEZ</t>
  </si>
  <si>
    <t>232-2024</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</si>
  <si>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</si>
  <si>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JOHANA CAROLINA CAICEDO GOYES</t>
  </si>
  <si>
    <t>270-2024</t>
  </si>
  <si>
    <t>FERNANDO ALBERTO ROMERO SOLANO</t>
  </si>
  <si>
    <t>284-2024</t>
  </si>
  <si>
    <t>BRAYAN ANTONIO MADROÑERO QUINTERO</t>
  </si>
  <si>
    <t>319-2024</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</si>
  <si>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</si>
  <si>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LIZETH MARCELA ORTIZ MUÑOZ</t>
  </si>
  <si>
    <t>181-2024</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</si>
  <si>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</si>
  <si>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MARIA IDER CASANOVA BURBANO</t>
  </si>
  <si>
    <t>183-2024</t>
  </si>
  <si>
    <t>NANCY VISITACION CHAMORRO CUAICHAR</t>
  </si>
  <si>
    <t>195-2024</t>
  </si>
  <si>
    <t>DANNY YESID DELGADO MORA</t>
  </si>
  <si>
    <t>196-2024</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</si>
  <si>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</si>
  <si>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CAROLINA ISABEL PORTILLA TEPUD</t>
  </si>
  <si>
    <t>202-2024</t>
  </si>
  <si>
    <t>CARMEN PATRICIA CORDOBA ARTEAGA</t>
  </si>
  <si>
    <t>213-2024</t>
  </si>
  <si>
    <t>ALBA DENIS ARGOTY SANTACRUZ</t>
  </si>
  <si>
    <t>228-2024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</si>
  <si>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</si>
  <si>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DANIELA FERNANDA ERASO VALENCIA</t>
  </si>
  <si>
    <t>242-2024</t>
  </si>
  <si>
    <t>DANIELA VANESA MONTACHEZ GOMAJOA</t>
  </si>
  <si>
    <t>276-2024</t>
  </si>
  <si>
    <t>BLANCA MELVA GAVIRIA BRAVO</t>
  </si>
  <si>
    <t>321-2024</t>
  </si>
  <si>
    <t>JENIFFER ARCOS GIL</t>
  </si>
  <si>
    <t>186-2024</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</si>
  <si>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</si>
  <si>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EDMER LEONARDO RUALES AYALA</t>
  </si>
  <si>
    <t>193-2024</t>
  </si>
  <si>
    <t>CARMEN LILIANA ARCINIEGAS</t>
  </si>
  <si>
    <t>197-2024</t>
  </si>
  <si>
    <t>SANTIAGO NICOLAS TULCAN REGALADO</t>
  </si>
  <si>
    <t>200-2024</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</si>
  <si>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</si>
  <si>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MERCY LORENA SACANAMBUY LOPEZ</t>
  </si>
  <si>
    <t>205-2024</t>
  </si>
  <si>
    <t>ADRIANA YORLADY ARMERO BURBANO</t>
  </si>
  <si>
    <t>209-2024</t>
  </si>
  <si>
    <t>MARIA FERNANDA INGUILAN CABRERA</t>
  </si>
  <si>
    <t>217-2024</t>
  </si>
  <si>
    <t>ANGELA PAOLA BOLAÑOS ARGOTI</t>
  </si>
  <si>
    <t>220-2024</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</si>
  <si>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</si>
  <si>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DANIEL ALEJANDRO ESCOBAR ANDRADE</t>
  </si>
  <si>
    <t>210-2024</t>
  </si>
  <si>
    <t>JUAN CAMILO ENRIQUEZ ARCINIEGAS</t>
  </si>
  <si>
    <t>230-2024</t>
  </si>
  <si>
    <t>ANGELA PATRICIA BASTIDAS MELO</t>
  </si>
  <si>
    <t>237-2024</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</si>
  <si>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</si>
  <si>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CLARA MARIA ACOSTA</t>
  </si>
  <si>
    <t>240-2024</t>
  </si>
  <si>
    <t>CAROL SUVANY HERRERA ERAZO</t>
  </si>
  <si>
    <t>243-2024</t>
  </si>
  <si>
    <t>EDITH ANGELICA LOPEZ VILLARREAL</t>
  </si>
  <si>
    <t>261-2024</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</si>
  <si>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</si>
  <si>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YULY LORENA CABRERA DELGADO</t>
  </si>
  <si>
    <t>179-2024</t>
  </si>
  <si>
    <t>INES MERCEDES LOPEZ TORRES</t>
  </si>
  <si>
    <t>180-2024</t>
  </si>
  <si>
    <t>DIANA CAROLINA CORTES TAPIA</t>
  </si>
  <si>
    <t>184-2024</t>
  </si>
  <si>
    <t>FANY LUCELY RODRIGUEZ CRIOLLO</t>
  </si>
  <si>
    <t>187-2024</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</si>
  <si>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</si>
  <si>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TULY MARCELA MRALES LOPEZ</t>
  </si>
  <si>
    <t>204-2024</t>
  </si>
  <si>
    <t>NATALAI ANDREA LATORRE RUANO</t>
  </si>
  <si>
    <t>215-2024</t>
  </si>
  <si>
    <t>CINDY ESTEFANIE GONZALEZ DEL CASTILLO</t>
  </si>
  <si>
    <t xml:space="preserve"> BERTHA JANETH MONTENEGRO PORTILLA</t>
  </si>
  <si>
    <t>216-2024</t>
  </si>
  <si>
    <t>JERALDINE BASTIDAS OCAÑA</t>
  </si>
  <si>
    <t>223-2024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</si>
  <si>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</si>
  <si>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SANDRA MILENA GARCIA</t>
  </si>
  <si>
    <t>233-2024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</si>
  <si>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</si>
  <si>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JAZMIN ELIZABETH ARCE CALDERON</t>
  </si>
  <si>
    <t>236-2024</t>
  </si>
  <si>
    <t>LEYDI GISELLA BENAVIDES LOPEZ</t>
  </si>
  <si>
    <t>257-2024</t>
  </si>
  <si>
    <t>JENIFER AREVALO CRIOLLO</t>
  </si>
  <si>
    <t>231-2024</t>
  </si>
  <si>
    <t>NAYIBI ROCIO MONCADA JATIVA</t>
  </si>
  <si>
    <t>266-2024</t>
  </si>
  <si>
    <t>ERIKA PAOLA ESTRADA BURBANO</t>
  </si>
  <si>
    <t>281-2024</t>
  </si>
  <si>
    <t>MAYERLY NORIDIA ASMAZA GETIAL</t>
  </si>
  <si>
    <t>286-2024</t>
  </si>
  <si>
    <t>MARIA DE LOS ANGELES ACOSTA ROSERO</t>
  </si>
  <si>
    <t>287-2024</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</si>
  <si>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</si>
  <si>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JESUS ARMANDO MARTINEZ GOMEZ</t>
  </si>
  <si>
    <t>250-2024</t>
  </si>
  <si>
    <t>CAROLINA NASTACUAS PAI</t>
  </si>
  <si>
    <t>182-2024</t>
  </si>
  <si>
    <t>NATALIA LIZETH AGUIRRE SALAZAR</t>
  </si>
  <si>
    <t>185-2024</t>
  </si>
  <si>
    <t>EVELYN FERNANDA ACOSTA CHICAIZA</t>
  </si>
  <si>
    <t>188-2024</t>
  </si>
  <si>
    <t>MONICA DEL ROCIO ERASO RUIZ</t>
  </si>
  <si>
    <t>189-2024</t>
  </si>
  <si>
    <t>RUTH INGRITH DIAZ VALERO</t>
  </si>
  <si>
    <t>192-2024</t>
  </si>
  <si>
    <t>LIDIA JIMENA RODRIGUEZ LOZA</t>
  </si>
  <si>
    <t>194-2024</t>
  </si>
  <si>
    <t>VALERIA FERNANDA CUASQUER CANTUCA</t>
  </si>
  <si>
    <t>201-2024</t>
  </si>
  <si>
    <t>SONIA PATRICIA ESPAÑA TAPIA</t>
  </si>
  <si>
    <t>203-2024</t>
  </si>
  <si>
    <t>KELLY YURANY JOJOA BOTINA</t>
  </si>
  <si>
    <t>212-2024</t>
  </si>
  <si>
    <t>VANESSA KATHERINE JOJOA ARIAS</t>
  </si>
  <si>
    <t>219-2024</t>
  </si>
  <si>
    <t>MARIA ALEJANDRA BENAVIDES AYALA</t>
  </si>
  <si>
    <t>221-2024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</si>
  <si>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</si>
  <si>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VERONICA ROXANA MORAN VILLOTA</t>
  </si>
  <si>
    <t>222-2024</t>
  </si>
  <si>
    <t>ANDREA PAOLA MONTES PANTOJA</t>
  </si>
  <si>
    <t>229-2024</t>
  </si>
  <si>
    <t>ROCIO DEL PILAR RIVERA</t>
  </si>
  <si>
    <t>234-2024</t>
  </si>
  <si>
    <t>JAZMIN DEL CARMEN NUPAN BURBANO</t>
  </si>
  <si>
    <t>238-2024</t>
  </si>
  <si>
    <t>DEISY ANDREA MARTINEZ NARVAEZ</t>
  </si>
  <si>
    <t>239-2024</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</si>
  <si>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</si>
  <si>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JESSICA FERNANDA LAGOS DAVID</t>
  </si>
  <si>
    <t>244-2024</t>
  </si>
  <si>
    <t>LYNN JANINA ORTIZ PAZ</t>
  </si>
  <si>
    <t>246-2024</t>
  </si>
  <si>
    <t>JAQUELINE CAMILA GENOY VILLOTA</t>
  </si>
  <si>
    <t>247-2024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</si>
  <si>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</si>
  <si>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YEIMY ANABELY MONCAYO ARTEAGA</t>
  </si>
  <si>
    <t>249-2024</t>
  </si>
  <si>
    <t>ANA CLEMENCIA BASTIDAS CERON</t>
  </si>
  <si>
    <t>251-2024</t>
  </si>
  <si>
    <t>BRENDA DAYANA TABLA PULISTAR</t>
  </si>
  <si>
    <t>253-2024</t>
  </si>
  <si>
    <t>IBONNE ALEJANDRA SILVA ARAUJO</t>
  </si>
  <si>
    <t>254-2024</t>
  </si>
  <si>
    <t>MARIA HOMAIRA GUEVARA CORAL</t>
  </si>
  <si>
    <t>255-2024</t>
  </si>
  <si>
    <t>DANIELA ALEXANDRA PABON YARPAS</t>
  </si>
  <si>
    <t>256-2024</t>
  </si>
  <si>
    <t>DIANA MILENA PAZ NANDAR</t>
  </si>
  <si>
    <t>258-2024</t>
  </si>
  <si>
    <t>LUZDARI JARAMILLO NOGERA</t>
  </si>
  <si>
    <t>259-2024</t>
  </si>
  <si>
    <t>VIKY PATRICIA ASCUNTAR CRIOLLO</t>
  </si>
  <si>
    <t>260-2024</t>
  </si>
  <si>
    <t>ISABEL CRISTINA SANTACRUZ MUÑOZ</t>
  </si>
  <si>
    <t>262-2024</t>
  </si>
  <si>
    <t>RAFAEL ARLEY ROSERO PINZA</t>
  </si>
  <si>
    <t>264-2024</t>
  </si>
  <si>
    <t>JUAN FERNADO ZARAMA SILVA</t>
  </si>
  <si>
    <t>267-2024</t>
  </si>
  <si>
    <t>ANGIE VIVIANA AULLON VASQUEZ</t>
  </si>
  <si>
    <t>268-2024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</si>
  <si>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</si>
  <si>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PABLO JOSE BADOS LOPEZ</t>
  </si>
  <si>
    <t>271-2024</t>
  </si>
  <si>
    <t>EDITH CRISTINA GARCIA JOJOA</t>
  </si>
  <si>
    <t>272-2024</t>
  </si>
  <si>
    <t>MARILIN ZAMBRANO</t>
  </si>
  <si>
    <t>275-2024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</si>
  <si>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</si>
  <si>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ADRIANA SOFIA ISANDARA NUPAN</t>
  </si>
  <si>
    <t>277-2024</t>
  </si>
  <si>
    <t>NORIDA YULIETH TOBAR ARTEAGA</t>
  </si>
  <si>
    <t>279-2024</t>
  </si>
  <si>
    <t>MONICA PATRICIA PANTOJA DUEÑAS</t>
  </si>
  <si>
    <t>280-2024</t>
  </si>
  <si>
    <t>JUANITA MAYLIN VELASQUEZ REVELO</t>
  </si>
  <si>
    <t>282-2024</t>
  </si>
  <si>
    <t>EDER SHINEIDER TUTISTAR TUTISTAR</t>
  </si>
  <si>
    <t>283-2024</t>
  </si>
  <si>
    <t>VALENTINA PASQUAZA YACUMA</t>
  </si>
  <si>
    <t>285-2024</t>
  </si>
  <si>
    <t>LUCERITO DEL CARMEN REVELO BENAVIDES</t>
  </si>
  <si>
    <t>308-2024</t>
  </si>
  <si>
    <t>KARELIS NATALY ZHENG MONSALVE</t>
  </si>
  <si>
    <t>322-2024</t>
  </si>
  <si>
    <t>SARA VICTORIA ALVAREZ FIGUEROA</t>
  </si>
  <si>
    <t>344-2024</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</si>
  <si>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</si>
  <si>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PABLO ERNESTO RIOBAMBA IPIALES</t>
  </si>
  <si>
    <t>413-2024</t>
  </si>
  <si>
    <t>MARIBEL DEL CARMEN MAIGUAL MUÑOZ</t>
  </si>
  <si>
    <t>621-2024</t>
  </si>
  <si>
    <t>COMPRA VENTA DE ELEMENTOS CATEGORIZADOS EN LA LINEA DE CONSUMO MATERIALES Y SUMINISTROS, DE ACUERDO A LAS NECESIDADES IDENTIFICADAS PARA DESARROLLO DEL PROGRAMA DE ATENCION PRIMARIA EN SALUD, CONFORME A LA RESOLUCION 1778 DEL 31 DE OCTUBRE DE 2023.</t>
  </si>
  <si>
    <t>OVIEDO PAREDES ADRIANA LORENA (RUGLORY DISTRIBUCIONES)</t>
  </si>
  <si>
    <t xml:space="preserve">	STEFANYA RAMIREZ LOPERA</t>
  </si>
  <si>
    <t>360-2024</t>
  </si>
  <si>
    <t>MARIA ISABEL ALVAREZ CAICEDO</t>
  </si>
  <si>
    <t>361-2024</t>
  </si>
  <si>
    <t>LEIDI YURANI RAMOS</t>
  </si>
  <si>
    <t>362-2024</t>
  </si>
  <si>
    <t>LISSETH MARISOL CUASTUMAL CASTRO</t>
  </si>
  <si>
    <t>364-2024</t>
  </si>
  <si>
    <t>JINETH VANESA CONSTAIN LASSO</t>
  </si>
  <si>
    <t xml:space="preserve"> RIGOBERTO MELO ZAMBRANO</t>
  </si>
  <si>
    <t>365-2024</t>
  </si>
  <si>
    <t>CRISTIAN FABIAN CRIOLLO RIVERA</t>
  </si>
  <si>
    <t>366-2024</t>
  </si>
  <si>
    <t>KAROL DAYANA TONGUINO TORO</t>
  </si>
  <si>
    <t>367-2024</t>
  </si>
  <si>
    <t>YENIFER NAYIBE MENESES TOBAR</t>
  </si>
  <si>
    <t>368-2024</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</si>
  <si>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</si>
  <si>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YUDY LILIANA BENAVIDES OJEDA</t>
  </si>
  <si>
    <t>373-2024</t>
  </si>
  <si>
    <t>DEISY JOHANNA BASTIDAS JOJOA</t>
  </si>
  <si>
    <t>374-2024</t>
  </si>
  <si>
    <t>PAULA ANDREA ROCHA DELGADO</t>
  </si>
  <si>
    <t>375-2024</t>
  </si>
  <si>
    <t>MARIA FERNANDA SANCHEZ CARDENAS</t>
  </si>
  <si>
    <t>376-2024</t>
  </si>
  <si>
    <t>ANA MILENA ROSERO SANTANDER</t>
  </si>
  <si>
    <t>377-2024</t>
  </si>
  <si>
    <t>KARLA VALERIA AZA CEPEDA</t>
  </si>
  <si>
    <t>378-2024</t>
  </si>
  <si>
    <t>JHON SEBASTIAN NARVAEZ DEJOY</t>
  </si>
  <si>
    <t>381-2024</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</si>
  <si>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</si>
  <si>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SOFIA ESMERALDA MEJIA ORTIZ</t>
  </si>
  <si>
    <t>382-2024</t>
  </si>
  <si>
    <t>KARINA MARIBEL LUNA LOPEZ</t>
  </si>
  <si>
    <t>383-2024</t>
  </si>
  <si>
    <t>ELOISA YERALDIN FREYRE GOMEZ</t>
  </si>
  <si>
    <t>384-2024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</si>
  <si>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</si>
  <si>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LEONEL FERNANDO JOJOA JOJOA</t>
  </si>
  <si>
    <t>385-2024</t>
  </si>
  <si>
    <t>MARIA CAMILA PAZ ARCOS</t>
  </si>
  <si>
    <t>386-2024</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</si>
  <si>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</si>
  <si>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JULIANA VALENTINA MENDEZ ORTIZ</t>
  </si>
  <si>
    <t>387-2024</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</si>
  <si>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</si>
  <si>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DEYANIRA BADOS DAZA</t>
  </si>
  <si>
    <t>389-2024</t>
  </si>
  <si>
    <t>CARMEN LILIANA ARMERO RUIZ</t>
  </si>
  <si>
    <t>390-2024</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</si>
  <si>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</si>
  <si>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JOHN JAIME LOPEZ GUERRERO</t>
  </si>
  <si>
    <t>391-2024</t>
  </si>
  <si>
    <t>CALPA CAICEDO GREACE ALEJANDRA</t>
  </si>
  <si>
    <t>392-2024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</si>
  <si>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</si>
  <si>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CAROL VIVIANA RODRIGUEZ CARDENAS</t>
  </si>
  <si>
    <t>393-2024</t>
  </si>
  <si>
    <t>NESLY YANID MUÑOZ ORTIZ</t>
  </si>
  <si>
    <t>394-2024</t>
  </si>
  <si>
    <t>YULLI KAROLINA CASTILLO PAZ</t>
  </si>
  <si>
    <t>396-2024</t>
  </si>
  <si>
    <t>ERIKA JOHANA OBANDO SANTACRUZ</t>
  </si>
  <si>
    <t>398-2024</t>
  </si>
  <si>
    <t>LUIS ALONSO GUEVARA DE LOS RIOS</t>
  </si>
  <si>
    <t>399-2024</t>
  </si>
  <si>
    <t>KAROL ESTEFANY MIRANDA TOBAR</t>
  </si>
  <si>
    <t>400-2024</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</si>
  <si>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</si>
  <si>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BRYAN ANDRES BASTIDAS RUALES</t>
  </si>
  <si>
    <t>401-2024</t>
  </si>
  <si>
    <t>LILIANA MAYOR BOTINA CRIOLLLO</t>
  </si>
  <si>
    <t>402-2024</t>
  </si>
  <si>
    <t>NIEVES FERNANDA AZZA ORDOÑEZ</t>
  </si>
  <si>
    <t>403-2024</t>
  </si>
  <si>
    <t>RICARDO ENRIQUE VEGA MERA</t>
  </si>
  <si>
    <t>404-2024</t>
  </si>
  <si>
    <t>BRIGITT MARCELA BURBANO PUPIALES</t>
  </si>
  <si>
    <t>406-2024</t>
  </si>
  <si>
    <t>GABRIELA ALEJANDRA GUERRERO BRAVO</t>
  </si>
  <si>
    <t>408-2024</t>
  </si>
  <si>
    <t>DIANA CAROLINA ROSERO COCHA</t>
  </si>
  <si>
    <t>409-2024</t>
  </si>
  <si>
    <t>ANGIE GABRIELA ENRIQUEZ TACAN</t>
  </si>
  <si>
    <t>412-2024</t>
  </si>
  <si>
    <t>AMANDA LOPEZ HERNANDEZ</t>
  </si>
  <si>
    <t>208-2024</t>
  </si>
  <si>
    <t>ADQUISICION DE CHALECOS Y BANDERAS CON EL EMBLEMA DE MISION MEDICA PARA IDENTIFICAR A LOS MIEMBROS DE LOS EQUIPOS BASICOS EN SALUD</t>
  </si>
  <si>
    <t>FREDDY FRANCISCO PAZ MARQUEZ (DOTACIONES BALMER)</t>
  </si>
  <si>
    <t>DIANA MARÍA CARVAJAL AGUIRRE</t>
  </si>
  <si>
    <t>415-2024</t>
  </si>
  <si>
    <t>ANGELA MARCELA OBANDO BASTIDAS</t>
  </si>
  <si>
    <t>418-2024</t>
  </si>
  <si>
    <t>FRANCO JESUS RODRIGUEZ ARAUJO</t>
  </si>
  <si>
    <t>438-2024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</si>
  <si>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</si>
  <si>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CLAUDIA DANIELA PAZ RIVERA</t>
  </si>
  <si>
    <t>449-2024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</si>
  <si>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</si>
  <si>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DIANA CAROLINA MORAN CRUZ</t>
  </si>
  <si>
    <t>452-2024</t>
  </si>
  <si>
    <t>DIANA CAROLINA TISOY CHASOY</t>
  </si>
  <si>
    <t>453-2024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</si>
  <si>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</si>
  <si>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DANNY ALEXANDER ORTIZ MUÑOZ</t>
  </si>
  <si>
    <t>454-2024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</si>
  <si>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</si>
  <si>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DIEGO FERNANDO DELGADO ERASO</t>
  </si>
  <si>
    <t>460-2024</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</si>
  <si>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</si>
  <si>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ADRIANA GABRIELA DIAZ MONTENEGRO</t>
  </si>
  <si>
    <t>461-2024</t>
  </si>
  <si>
    <t>RUTH JACQUELINE GAMEZ PABON</t>
  </si>
  <si>
    <t>467-2024</t>
  </si>
  <si>
    <t>LESLY NATHALIA MAIGUAL JURADO</t>
  </si>
  <si>
    <t>469-2024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</si>
  <si>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</si>
  <si>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FHALOM CAROLINA ROSERO TORRES</t>
  </si>
  <si>
    <t>470-2024</t>
  </si>
  <si>
    <t>AYDE JACKELINE CABRERA CRIOLLO</t>
  </si>
  <si>
    <t>471-2024</t>
  </si>
  <si>
    <t>LICETH NEYIRETH RIVERAROSERO</t>
  </si>
  <si>
    <t>472-2024</t>
  </si>
  <si>
    <t>MARIO ANDRES ROSAS ENRIQUEZ</t>
  </si>
  <si>
    <t>473-2024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</si>
  <si>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</si>
  <si>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CLEOTILDE FLOR ALBA PIANDOY CUSIS</t>
  </si>
  <si>
    <t>474-2024</t>
  </si>
  <si>
    <t>ANGELA ESTEFANYA NASPIRAN JOJOA</t>
  </si>
  <si>
    <t>476-2024</t>
  </si>
  <si>
    <t>NICOLAS EMILIO MENA JOJOA</t>
  </si>
  <si>
    <t>477-2024</t>
  </si>
  <si>
    <t>ANGELA SOFIA CACHINOY ALVAREZ</t>
  </si>
  <si>
    <t>478-2024</t>
  </si>
  <si>
    <t>LUZ MARINA BENAVIDES BASTIDAS</t>
  </si>
  <si>
    <t>479-2024</t>
  </si>
  <si>
    <t>LORENA CATERINE ASCUNTAR CUAJIBIOY</t>
  </si>
  <si>
    <t>480-2024</t>
  </si>
  <si>
    <t>INDIRA TAMARA PALACIOS BUSTOS</t>
  </si>
  <si>
    <t>484-2024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</si>
  <si>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</si>
  <si>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LUCENY CENIDIA DAVID RODRIGUEZ</t>
  </si>
  <si>
    <t>485-2024</t>
  </si>
  <si>
    <t>SONIA DEL ROCIO GOMEZ NARVAEZ</t>
  </si>
  <si>
    <t>486-2024</t>
  </si>
  <si>
    <t>VERONICA HURTADO PASCUAZA</t>
  </si>
  <si>
    <t>487-2024</t>
  </si>
  <si>
    <t>NAYIBE MARCELA LARA MATABANCHOY</t>
  </si>
  <si>
    <t>489-2024</t>
  </si>
  <si>
    <t>LISETH MUÑOZ MARTINEZ</t>
  </si>
  <si>
    <t>490-2024</t>
  </si>
  <si>
    <t>MARIA FERNANDA VASQUEZ ARGOTI</t>
  </si>
  <si>
    <t xml:space="preserve"> RODRIGO DE JESUS VITERI MORENO</t>
  </si>
  <si>
    <t>491-2024</t>
  </si>
  <si>
    <t>ALEXANDRA MARIA ORTEGA ROSERO</t>
  </si>
  <si>
    <t>492-2024</t>
  </si>
  <si>
    <t>LINA YEZMIN DE LA CRUZ CUSIS</t>
  </si>
  <si>
    <t>493-2024</t>
  </si>
  <si>
    <t>ROSAURA CAROLINA MADROÑERO DELGADO</t>
  </si>
  <si>
    <t>495-2024</t>
  </si>
  <si>
    <t>SANDRA PAOLA ROMO JURADO</t>
  </si>
  <si>
    <t>496-2024</t>
  </si>
  <si>
    <t>ANGIE GIONELLA HERNANDEZ VILLOTA</t>
  </si>
  <si>
    <t xml:space="preserve"> ALBA LUCIA MORA BENAVIDES</t>
  </si>
  <si>
    <t>497-2024</t>
  </si>
  <si>
    <t>YAMILE ALEJANDRA BOTINA RODRIGUEZ</t>
  </si>
  <si>
    <t>500-2024</t>
  </si>
  <si>
    <t>NATHALIE CAROLINA DE LA CRUZ ESTRADA</t>
  </si>
  <si>
    <t>501-2024</t>
  </si>
  <si>
    <t>ANA MILENA JACANAMIJOY TREJO</t>
  </si>
  <si>
    <t>504-2024</t>
  </si>
  <si>
    <t>ANDREA CATALINA CUASTUMAL ESCOBAR</t>
  </si>
  <si>
    <t>507-2024</t>
  </si>
  <si>
    <t>MARIO ALEXANDER MENA RODRIGUEZ</t>
  </si>
  <si>
    <t>508-2024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</si>
  <si>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</si>
  <si>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MAURICIO JAVIER QUIÑONES TAQUEZ</t>
  </si>
  <si>
    <t xml:space="preserve">	ALBA LUCIA MORA BENAVIDES</t>
  </si>
  <si>
    <t>509-2024</t>
  </si>
  <si>
    <t>JESICA GERALDIN MORALES</t>
  </si>
  <si>
    <t xml:space="preserve">	RODRIGO DE JESUS VITERI MORENO</t>
  </si>
  <si>
    <t>516-2024</t>
  </si>
  <si>
    <t>CAICEDO ALVAREZ ELIANA ESTEFANIA</t>
  </si>
  <si>
    <t>517-2024</t>
  </si>
  <si>
    <t>KELLY GABRIELA CARDENAS ARCOS</t>
  </si>
  <si>
    <t>519-2024</t>
  </si>
  <si>
    <t>YULI XIMENA TAPIA ORDOÑEZ</t>
  </si>
  <si>
    <t>524-2024</t>
  </si>
  <si>
    <t>WILLIAM CARLOS VILLOTA MARTINEZ</t>
  </si>
  <si>
    <t>525-2024</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</si>
  <si>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</si>
  <si>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JORGE ANDRES LOPEZ VELA (PANDORA ESTUDIO GRAFICO)</t>
  </si>
  <si>
    <t>551-2024</t>
  </si>
  <si>
    <t>ANGELA SOFIA ORDOÑEZ BENAVIDES</t>
  </si>
  <si>
    <t>837-2024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</si>
  <si>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</si>
  <si>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219-2025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</si>
  <si>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</si>
  <si>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MARIA INES PAGUAY GUANCHA</t>
  </si>
  <si>
    <t>250-2025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</si>
  <si>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</si>
  <si>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JEISSON STEVEN BASANTE ERAZO</t>
  </si>
  <si>
    <t>252-2025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</si>
  <si>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</si>
  <si>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LIGIA DEL CARMEN ERAZO GUERRERO,</t>
  </si>
  <si>
    <t>MARY ALEXANDRA ROSERO BENAVIDES</t>
  </si>
  <si>
    <t>262-2025</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</si>
  <si>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</si>
  <si>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ADRIANA PATRICIA DUEÑAS SALAZAR</t>
  </si>
  <si>
    <t>266-2025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</si>
  <si>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</si>
  <si>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268-2025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</si>
  <si>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</si>
  <si>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279-2025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</si>
  <si>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</si>
  <si>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CARLOS ANDRES PANTOJA BENAVIDES</t>
  </si>
  <si>
    <t>155-2025</t>
  </si>
  <si>
    <t>Prestación de servicios como gestor comunitario dirigidos al seguimiento de poblaciones especiales de riesgo según prioridades definidas por la redes operativas</t>
  </si>
  <si>
    <t>177-2025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</si>
  <si>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</si>
  <si>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282-2025</t>
  </si>
  <si>
    <t>PABLO ERNESTO RIOBAMBA IPIALES,</t>
  </si>
  <si>
    <t>303-2025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</si>
  <si>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</si>
  <si>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</si>
  <si>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</si>
  <si>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HAROLD CAMILO QUINTERO GUEVARA</t>
  </si>
  <si>
    <t>182-2025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</si>
  <si>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</si>
  <si>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</si>
  <si>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</si>
  <si>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184-2025</t>
  </si>
  <si>
    <t>188-2025</t>
  </si>
  <si>
    <t>189-2025</t>
  </si>
  <si>
    <t>190-2025</t>
  </si>
  <si>
    <t>199-2025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</si>
  <si>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</si>
  <si>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201-2025</t>
  </si>
  <si>
    <t>ELBER ALFREDO CAMPAÑA IMBAQUIN</t>
  </si>
  <si>
    <t>204-2025</t>
  </si>
  <si>
    <t>ZULY MARINA HIDALGO JOJOA</t>
  </si>
  <si>
    <t>208-2025</t>
  </si>
  <si>
    <t>209-2025</t>
  </si>
  <si>
    <t>ANGIE VIVIANA SACANAMBUY PAZ,</t>
  </si>
  <si>
    <t>210-2025</t>
  </si>
  <si>
    <t>ANDREA LILIANA LAGUNA RUALES</t>
  </si>
  <si>
    <t>211-2025</t>
  </si>
  <si>
    <t>ALEJANDRA MARLENY PATIÑO VALENCIA,</t>
  </si>
  <si>
    <t>212-2025</t>
  </si>
  <si>
    <t>198-2025</t>
  </si>
  <si>
    <t>Prestación de servicios profesionales dirigidos al seguimiento de poblaciones especiales de riesgo según prioridades definidas por la Subgerencia de Salud e Investigación.</t>
  </si>
  <si>
    <t>214-2025</t>
  </si>
  <si>
    <t>HECTOR GERMAN OJEDA CERON,</t>
  </si>
  <si>
    <t>218-2025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</si>
  <si>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</si>
  <si>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EDIER ERNEY CORDOBA ROJAS</t>
  </si>
  <si>
    <t>220-2025</t>
  </si>
  <si>
    <t>1.086.329.609.</t>
  </si>
  <si>
    <t>LORENA DEL CARMEN OJEDA VASQUEZ</t>
  </si>
  <si>
    <t>221-2025</t>
  </si>
  <si>
    <t>NATHALY STEPHANIE MARTINEZ MARTINEZ</t>
  </si>
  <si>
    <t>223-2025</t>
  </si>
  <si>
    <t>BRIGIT ESNIT GARCIA MANCHABAJOYΥ</t>
  </si>
  <si>
    <t>224-2025</t>
  </si>
  <si>
    <t>TATIANA ANDREA CRIOLLO GENOY,</t>
  </si>
  <si>
    <t>227-2025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</si>
  <si>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</si>
  <si>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229-2025</t>
  </si>
  <si>
    <t>234-2025</t>
  </si>
  <si>
    <t>DOLY MAYBRI TIMANA GUACAN</t>
  </si>
  <si>
    <t>238-2025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</si>
  <si>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</si>
  <si>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30,743.783</t>
  </si>
  <si>
    <t>JAQUELINE MELO MOSQUERA</t>
  </si>
  <si>
    <t>239-2025</t>
  </si>
  <si>
    <t>YEISON SMIT NUÑEZ ACOSTA</t>
  </si>
  <si>
    <t>244-2025</t>
  </si>
  <si>
    <t>JOSE JAVIER PINTA YAQUENO</t>
  </si>
  <si>
    <t>245-2025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</si>
  <si>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</si>
  <si>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MARILYN ZAMBRANO OBANDO</t>
  </si>
  <si>
    <t>246-2025</t>
  </si>
  <si>
    <t>247-2025</t>
  </si>
  <si>
    <t>251-2025</t>
  </si>
  <si>
    <t>FRAN GIOVANNY GETIAL CHICAIZA</t>
  </si>
  <si>
    <t>258-2025</t>
  </si>
  <si>
    <t>TANIA KARINA CUERO CASANOVA,</t>
  </si>
  <si>
    <t>263-2025</t>
  </si>
  <si>
    <t>ANDREA NATHALY ALAVA BOLAÑOS</t>
  </si>
  <si>
    <t>267-2025</t>
  </si>
  <si>
    <t>NUVI GRACIELA CHAMORRO CORAL</t>
  </si>
  <si>
    <t>270-2025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</si>
  <si>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</si>
  <si>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274-2025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</si>
  <si>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</si>
  <si>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 ANDREA MENESES ERAZO,</t>
  </si>
  <si>
    <t>276-2025</t>
  </si>
  <si>
    <t>ANYELY ROCIO LOPEZ ROSERO</t>
  </si>
  <si>
    <t>277-2025</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</si>
  <si>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</si>
  <si>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ANNY MAYERLINE NARVAEZ ÑAÑEZ</t>
  </si>
  <si>
    <t>310-2025</t>
  </si>
  <si>
    <t>311-2025</t>
  </si>
  <si>
    <t>142-2024</t>
  </si>
  <si>
    <t>COMPRA DE EQUIPOS BIOMEDICOS PARA EQUIPOS BASICOS EN SALUD DE LAS DIFERENTES SEDES QUE CONFORMAN LAS REDES PRESTADORAS DE SERVICIOS EN SALUD</t>
  </si>
  <si>
    <t>BIOPTICAS DE COLOMBIA SAS</t>
  </si>
  <si>
    <t>MARIO FERNADO NARANJO LOPE</t>
  </si>
  <si>
    <t>196-2025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</si>
  <si>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</si>
  <si>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LINA MARIA PIZANO PEREZ</t>
  </si>
  <si>
    <t>959-2024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</si>
  <si>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</si>
  <si>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KAREN JULIANA ERAZO JURADO</t>
  </si>
  <si>
    <t>178-2025</t>
  </si>
  <si>
    <t>185-2025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</si>
  <si>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</si>
  <si>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186-2025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</si>
  <si>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</si>
  <si>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187-2025</t>
  </si>
  <si>
    <t>DIANA MARIA ERASO</t>
  </si>
  <si>
    <t>193-2025</t>
  </si>
  <si>
    <t>CAROL SILVANA PATIÑO VALENCIA</t>
  </si>
  <si>
    <t>194-2025</t>
  </si>
  <si>
    <t>216-2025</t>
  </si>
  <si>
    <t>DANNY ALEXANDER SANCHEZ ESTRADA</t>
  </si>
  <si>
    <t>217-2025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</si>
  <si>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</si>
  <si>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MILENA ELIZABETH ORDOÑEZ ORTIZ</t>
  </si>
  <si>
    <t>222-2025</t>
  </si>
  <si>
    <t>JANETH EMILSE DIAZ ARCINIEGAS</t>
  </si>
  <si>
    <t>226-2025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</si>
  <si>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</si>
  <si>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249-2025</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</si>
  <si>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</si>
  <si>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EDITH ANGELICA LÓPEZ VILLARREAL</t>
  </si>
  <si>
    <t>242-2025</t>
  </si>
  <si>
    <t>254-2025</t>
  </si>
  <si>
    <t>YEIMER DANILO CAEZ MORALES</t>
  </si>
  <si>
    <t>265-2025</t>
  </si>
  <si>
    <t>JUAN PABLO MADROÑERO MUÑOZ</t>
  </si>
  <si>
    <t>281-2025</t>
  </si>
  <si>
    <t>MARIA ISABEL ALVAREZ CAICEDO,</t>
  </si>
  <si>
    <t>179-2025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</si>
  <si>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</si>
  <si>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NICOLAS ALEJANDRO ROSERO MORILLO</t>
  </si>
  <si>
    <t>180-2025</t>
  </si>
  <si>
    <t>VIVIANA MERCEDES PIZANO PORTILLA</t>
  </si>
  <si>
    <t>181-2025</t>
  </si>
  <si>
    <t>Este pago se equivocaron era a la resolucion 1773 se lo pusieron a la siguient</t>
  </si>
  <si>
    <t>261-2025</t>
  </si>
  <si>
    <t>TANIA MARCELA DIAZ DIAZ</t>
  </si>
  <si>
    <t>205-2025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</si>
  <si>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</si>
  <si>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ANGELA PAOLA BOLAÑOS ARGOTI,</t>
  </si>
  <si>
    <t>248-2025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</si>
  <si>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</si>
  <si>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ANDRES ERNESTO BRAVO ALMEIDA</t>
  </si>
  <si>
    <t>271-2025</t>
  </si>
  <si>
    <t>CONSTANZA HAIDY UNIGARRO PAZ</t>
  </si>
  <si>
    <t>200-2025</t>
  </si>
  <si>
    <t>192-2025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</si>
  <si>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</si>
  <si>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202-2025</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</si>
  <si>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</si>
  <si>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FERNANDO TEOFILO ROSERO PATIÑO</t>
  </si>
  <si>
    <t>233-2025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</si>
  <si>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</si>
  <si>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235-2025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</si>
  <si>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</si>
  <si>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243-2025</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</si>
  <si>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</si>
  <si>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NATHALIA ROSERO RODRIGUEZ</t>
  </si>
  <si>
    <t>269-2025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</si>
  <si>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</si>
  <si>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FANNY MARIELA CORDOBA MORENO</t>
  </si>
  <si>
    <t>278-2025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</si>
  <si>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</si>
  <si>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701-2024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</si>
  <si>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</si>
  <si>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228-2025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</si>
  <si>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</si>
  <si>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EDWIN PANTOJA OTERO</t>
  </si>
  <si>
    <t>240-2025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</si>
  <si>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</si>
  <si>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871-2024</t>
  </si>
  <si>
    <t>KAROL IVONNE BURBANO ROSERO</t>
  </si>
  <si>
    <t>207-2024</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</si>
  <si>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</si>
  <si>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KEVIN STEVEN PANTOJA CEBALLOS</t>
  </si>
  <si>
    <t>652-2024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</si>
  <si>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</si>
  <si>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302-2025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</si>
  <si>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</si>
  <si>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868-2024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</si>
  <si>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</si>
  <si>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259-2025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</si>
  <si>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</si>
  <si>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FUNDACION CALIDAD DE VIDA Y ESPERANZA-FUNDAESP</t>
  </si>
  <si>
    <t>292-2025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</si>
  <si>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</si>
  <si>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EXPRESO SURAMERICANA DE TURISMO</t>
  </si>
  <si>
    <t>JUAN PABLO LLANOS</t>
  </si>
  <si>
    <t>704-2024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</si>
  <si>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</si>
  <si>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172-2024</t>
  </si>
  <si>
    <t>191-2024</t>
  </si>
  <si>
    <t>269-2024</t>
  </si>
  <si>
    <t>273-2024</t>
  </si>
  <si>
    <t>388-2024</t>
  </si>
  <si>
    <t>462-2024</t>
  </si>
  <si>
    <t>488-2024</t>
  </si>
  <si>
    <t>494-2024</t>
  </si>
  <si>
    <t>678-2024</t>
  </si>
  <si>
    <t>pagado</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</si>
  <si>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</si>
  <si>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ANGELA LORENA LOPEZ VALLEJO</t>
  </si>
  <si>
    <t>no_estan_pagos</t>
  </si>
  <si>
    <t>CAMBIO</t>
  </si>
  <si>
    <t>id_recurso</t>
  </si>
  <si>
    <t>ID2177823635</t>
  </si>
  <si>
    <t>diferencia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</si>
</sst>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yyyy\-mm\-dd"/>
  </numFmts>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sz val="11"/>
      <color rgb="FF000000"/>
      <name val="Aptos Narrow"/>
    </font>
    <font>
      <sz val="11"/>
      <color theme="1"/>
      <name val="Calibri"/>
      <family val="2"/>
    </font>
    <font>
      <sz val="8"/>
      <name val="Calibri"/>
      <scheme val="minor"/>
    </font>
  </fonts>
  <fills count="6">
    <fill>
      <patternFill patternType="none"/>
    </fill>
    <fill>
      <patternFill patternType="gray125"/>
    </fill>
    <fill>
      <patternFill patternType="solid">
        <fgColor rgb="FF00B0F0"/>
        <bgColor rgb="FF00B0F0"/>
      </patternFill>
    </fill>
    <fill>
      <patternFill patternType="solid">
        <fgColor rgb="FFFFFF00"/>
        <bgColor rgb="FFFFFF00"/>
      </patternFill>
    </fill>
    <fill>
      <patternFill patternType="solid">
        <fgColor rgb="FFFFFF00"/>
        <bgColor indexed="64"/>
      </patternFill>
    </fill>
    <fill>
      <patternFill patternType="solid">
        <fgColor theme="9"/>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44" fontId="4" fillId="0" borderId="0" applyFont="0" applyFill="0" applyBorder="0" applyAlignment="0" applyProtection="0"/>
  </cellStyleXfs>
  <cellXfs count="27">
    <xf numFmtId="0" fontId="0" fillId="0" borderId="0" xfId="0"/>
    <xf numFmtId="0" fontId="3" fillId="0" borderId="1" xfId="0" applyFont="1" applyBorder="1" applyAlignment="1">
      <alignment horizontal="center" vertical="top"/>
    </xf>
    <xf numFmtId="164" fontId="3" fillId="0" borderId="1" xfId="0" applyNumberFormat="1" applyFont="1" applyBorder="1" applyAlignment="1">
      <alignment horizontal="center" vertical="top"/>
    </xf>
    <xf numFmtId="0" fontId="4" fillId="0" borderId="0" xfId="0" applyFont="1"/>
    <xf numFmtId="165" fontId="5" fillId="0" borderId="0" xfId="0" applyNumberFormat="1" applyFont="1"/>
    <xf numFmtId="165" fontId="6" fillId="0" borderId="0" xfId="0" applyNumberFormat="1" applyFont="1"/>
    <xf numFmtId="164" fontId="5" fillId="0" borderId="0" xfId="0" applyNumberFormat="1" applyFont="1"/>
    <xf numFmtId="0" fontId="5" fillId="2" borderId="2" xfId="0" applyFont="1" applyFill="1" applyBorder="1"/>
    <xf numFmtId="164" fontId="5" fillId="2" borderId="2" xfId="0" applyNumberFormat="1" applyFont="1" applyFill="1" applyBorder="1"/>
    <xf numFmtId="165" fontId="5" fillId="2" borderId="2" xfId="0" applyNumberFormat="1" applyFont="1" applyFill="1" applyBorder="1"/>
    <xf numFmtId="0" fontId="5" fillId="3" borderId="2" xfId="0" applyFont="1" applyFill="1" applyBorder="1"/>
    <xf numFmtId="164" fontId="5" fillId="3" borderId="2" xfId="0" applyNumberFormat="1" applyFont="1" applyFill="1" applyBorder="1"/>
    <xf numFmtId="165" fontId="5" fillId="3" borderId="2" xfId="0" applyNumberFormat="1" applyFont="1" applyFill="1" applyBorder="1"/>
    <xf numFmtId="2" fontId="5" fillId="0" borderId="0" xfId="0" applyNumberFormat="1" applyFont="1"/>
    <xf numFmtId="0" fontId="2" fillId="0" borderId="0" xfId="0" applyFont="1"/>
    <xf numFmtId="0" fontId="2" fillId="4" borderId="0" xfId="0" applyFont="1" applyFill="1"/>
    <xf numFmtId="164" fontId="7" fillId="0" borderId="0" xfId="0" applyNumberFormat="1" applyFont="1"/>
    <xf numFmtId="0" fontId="1" fillId="0" borderId="0" xfId="0" applyFont="1"/>
    <xf numFmtId="0" fontId="0" fillId="4" borderId="0" xfId="0" applyFill="1"/>
    <xf numFmtId="0" fontId="1" fillId="4" borderId="0" xfId="0" applyFont="1" applyFill="1"/>
    <xf numFmtId="165" fontId="5" fillId="4" borderId="0" xfId="0" applyNumberFormat="1" applyFont="1" applyFill="1"/>
    <xf numFmtId="164" fontId="1" fillId="0" borderId="0" xfId="0" applyNumberFormat="1" applyFont="1"/>
    <xf numFmtId="164" fontId="0" fillId="0" borderId="0" xfId="0" applyNumberFormat="1"/>
    <xf numFmtId="164" fontId="0" fillId="4" borderId="0" xfId="0" applyNumberFormat="1" applyFill="1"/>
    <xf numFmtId="44" fontId="0" fillId="0" borderId="0" xfId="1" applyFont="1"/>
    <xf numFmtId="0" fontId="1" fillId="5" borderId="0" xfId="0" applyFont="1" applyFill="1"/>
    <xf numFmtId="164" fontId="5" fillId="4" borderId="0" xfId="0" applyNumberFormat="1" applyFont="1" applyFill="1"/>
  </cellXfs>
  <cellStyles count="2">
    <cellStyle name="Moneda" xfId="1" builtinId="4"/>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APS%20AUTOMATIZACIONES\aps\activos\flujo_caja_limpia_2025_2024.xlsx" TargetMode="External"/><Relationship Id="rId1" Type="http://schemas.openxmlformats.org/officeDocument/2006/relationships/externalLinkPath" Target="flujo_caja_limpia_2025_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APS%20AUTOMATIZACIONES\aps\activos\flujo_caja_2025_2024_por_sumar.xlsx" TargetMode="External"/><Relationship Id="rId1" Type="http://schemas.openxmlformats.org/officeDocument/2006/relationships/externalLinkPath" Target="flujo_caja_2025_2024_por_sum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Hoja2"/>
      <sheetName val="Hoja1"/>
      <sheetName val="Hoja3"/>
      <sheetName val="toda"/>
    </sheetNames>
    <sheetDataSet>
      <sheetData sheetId="0"/>
      <sheetData sheetId="1"/>
      <sheetData sheetId="2"/>
      <sheetData sheetId="3"/>
      <sheetData sheetId="4">
        <row r="2">
          <cell r="A2">
            <v>45391</v>
          </cell>
          <cell r="B2">
            <v>2024000388</v>
          </cell>
          <cell r="C2" t="str">
            <v>142-2024</v>
          </cell>
          <cell r="D2">
            <v>64304701.039999999</v>
          </cell>
          <cell r="E2">
            <v>901329717</v>
          </cell>
          <cell r="F2" t="str">
            <v>BIOPTICAS DE COLOMBIA SAS</v>
          </cell>
          <cell r="G2" t="str">
            <v>ID2177823635</v>
          </cell>
        </row>
        <row r="3">
          <cell r="A3">
            <v>45419</v>
          </cell>
          <cell r="B3">
            <v>2024000517</v>
          </cell>
          <cell r="C3" t="str">
            <v>142-2024</v>
          </cell>
          <cell r="D3">
            <v>61123665.960000001</v>
          </cell>
          <cell r="E3">
            <v>901329717</v>
          </cell>
          <cell r="F3" t="str">
            <v>BIOPTICAS DE COLOMBIA SAS</v>
          </cell>
          <cell r="G3" t="str">
            <v>ID2177823635</v>
          </cell>
        </row>
        <row r="4">
          <cell r="A4">
            <v>45441</v>
          </cell>
          <cell r="B4">
            <v>2024000589</v>
          </cell>
          <cell r="C4" t="str">
            <v>159-2024</v>
          </cell>
          <cell r="D4">
            <v>2000000</v>
          </cell>
          <cell r="E4">
            <v>1085317833</v>
          </cell>
          <cell r="F4" t="str">
            <v>ANGIE VIVIANA SACANAMBUY PAZ</v>
          </cell>
          <cell r="G4" t="str">
            <v>ID2177823635</v>
          </cell>
        </row>
        <row r="5">
          <cell r="A5">
            <v>45441</v>
          </cell>
          <cell r="B5">
            <v>2024000591</v>
          </cell>
          <cell r="C5" t="str">
            <v>208-2024</v>
          </cell>
          <cell r="D5">
            <v>24264774</v>
          </cell>
          <cell r="E5">
            <v>98383086</v>
          </cell>
          <cell r="F5" t="str">
            <v>PAZ MARQUEZ FREDDY FRANCISCO</v>
          </cell>
          <cell r="G5" t="str">
            <v>ID2177823635</v>
          </cell>
        </row>
        <row r="6">
          <cell r="A6">
            <v>45443</v>
          </cell>
          <cell r="B6">
            <v>2024000594</v>
          </cell>
          <cell r="C6" t="str">
            <v>148-2024</v>
          </cell>
          <cell r="D6">
            <v>4825600</v>
          </cell>
          <cell r="E6">
            <v>1085338534</v>
          </cell>
          <cell r="F6" t="str">
            <v>ANA VICTORIA ORTEGA GOMEZ</v>
          </cell>
          <cell r="G6" t="str">
            <v>ID2177823635</v>
          </cell>
        </row>
        <row r="7">
          <cell r="A7">
            <v>45443</v>
          </cell>
          <cell r="B7">
            <v>2024000595</v>
          </cell>
          <cell r="C7" t="str">
            <v>158-2024</v>
          </cell>
          <cell r="D7">
            <v>2000000</v>
          </cell>
          <cell r="E7">
            <v>59830395</v>
          </cell>
          <cell r="F7" t="str">
            <v>SANDRA LUCERO LÓPEZ LÓPEZ</v>
          </cell>
          <cell r="G7" t="str">
            <v>ID2177823635</v>
          </cell>
        </row>
        <row r="8">
          <cell r="A8">
            <v>45443</v>
          </cell>
          <cell r="B8">
            <v>2024000596</v>
          </cell>
          <cell r="C8" t="str">
            <v>195-2024</v>
          </cell>
          <cell r="D8">
            <v>6000000</v>
          </cell>
          <cell r="E8">
            <v>1089242085</v>
          </cell>
          <cell r="F8" t="str">
            <v>DANNY YESID DELGADO MORA</v>
          </cell>
          <cell r="G8" t="str">
            <v>ID2177823635</v>
          </cell>
        </row>
        <row r="9">
          <cell r="A9">
            <v>45443</v>
          </cell>
          <cell r="B9">
            <v>2024000597</v>
          </cell>
          <cell r="C9" t="str">
            <v>198-2024</v>
          </cell>
          <cell r="D9">
            <v>7500000</v>
          </cell>
          <cell r="E9">
            <v>1089244511</v>
          </cell>
          <cell r="F9" t="str">
            <v>DIDIER RAIMUNDO MENESES GUERRERO</v>
          </cell>
          <cell r="G9" t="str">
            <v>ID2177823635</v>
          </cell>
        </row>
        <row r="10">
          <cell r="A10">
            <v>45443</v>
          </cell>
          <cell r="B10">
            <v>2024000598</v>
          </cell>
          <cell r="C10" t="str">
            <v>166-2024</v>
          </cell>
          <cell r="D10">
            <v>4750000</v>
          </cell>
          <cell r="E10">
            <v>1085325342</v>
          </cell>
          <cell r="F10" t="str">
            <v>JORGE LUIS CARVAJAL GUACHAVEZ</v>
          </cell>
          <cell r="G10" t="str">
            <v>ID2177823635</v>
          </cell>
        </row>
        <row r="11">
          <cell r="A11">
            <v>45505</v>
          </cell>
          <cell r="B11">
            <v>2024001318</v>
          </cell>
          <cell r="C11" t="str">
            <v>181-2024</v>
          </cell>
          <cell r="D11">
            <v>6000000</v>
          </cell>
          <cell r="E11">
            <v>37013610</v>
          </cell>
          <cell r="F11" t="str">
            <v>MARIA  IDER CASANOVA BURBANO</v>
          </cell>
          <cell r="G11" t="str">
            <v>ID2177823635</v>
          </cell>
        </row>
        <row r="12">
          <cell r="A12">
            <v>45505</v>
          </cell>
          <cell r="B12">
            <v>2024001319</v>
          </cell>
          <cell r="C12" t="str">
            <v>404-2024</v>
          </cell>
          <cell r="D12">
            <v>6000000</v>
          </cell>
          <cell r="E12">
            <v>1085292185</v>
          </cell>
          <cell r="F12" t="str">
            <v>BRIGITT MARCELA BURBANO PUPIALES</v>
          </cell>
          <cell r="G12" t="str">
            <v>ID2177823635</v>
          </cell>
        </row>
        <row r="13">
          <cell r="A13">
            <v>45505</v>
          </cell>
          <cell r="B13">
            <v>2024001321</v>
          </cell>
          <cell r="C13" t="str">
            <v>266-2024</v>
          </cell>
          <cell r="D13">
            <v>4750000</v>
          </cell>
          <cell r="E13">
            <v>1085324546</v>
          </cell>
          <cell r="F13" t="str">
            <v>ERIKA PAOLA ESTRADA  BURBANO</v>
          </cell>
          <cell r="G13" t="str">
            <v>ID2177823635</v>
          </cell>
        </row>
        <row r="14">
          <cell r="A14">
            <v>45505</v>
          </cell>
          <cell r="B14">
            <v>2024001322</v>
          </cell>
          <cell r="C14" t="str">
            <v>401-2024</v>
          </cell>
          <cell r="D14">
            <v>6000000</v>
          </cell>
          <cell r="E14">
            <v>1085253062</v>
          </cell>
          <cell r="F14" t="str">
            <v>LILIANA MAYER BOTINA CRIOLLO</v>
          </cell>
          <cell r="G14" t="str">
            <v>ID2177823635</v>
          </cell>
        </row>
        <row r="15">
          <cell r="A15">
            <v>45505</v>
          </cell>
          <cell r="B15">
            <v>2024001323</v>
          </cell>
          <cell r="C15" t="str">
            <v>373-2024</v>
          </cell>
          <cell r="D15">
            <v>2000000</v>
          </cell>
          <cell r="E15">
            <v>1085252263</v>
          </cell>
          <cell r="F15" t="str">
            <v>DEISY JOHANNA BASTIDAS JOJOA</v>
          </cell>
          <cell r="G15" t="str">
            <v>ID2177823635</v>
          </cell>
        </row>
        <row r="16">
          <cell r="A16">
            <v>45509</v>
          </cell>
          <cell r="B16">
            <v>2024001336</v>
          </cell>
          <cell r="C16" t="str">
            <v>393-2024</v>
          </cell>
          <cell r="D16">
            <v>2000000</v>
          </cell>
          <cell r="E16">
            <v>1085331508</v>
          </cell>
          <cell r="F16" t="str">
            <v>NESLY YANID MUÑOZ ORTÍZ</v>
          </cell>
          <cell r="G16" t="str">
            <v>ID2177823635</v>
          </cell>
        </row>
        <row r="17">
          <cell r="A17">
            <v>45509</v>
          </cell>
          <cell r="B17">
            <v>2024001337</v>
          </cell>
          <cell r="C17" t="str">
            <v>168-2024</v>
          </cell>
          <cell r="D17">
            <v>2000000</v>
          </cell>
          <cell r="E17">
            <v>27087122</v>
          </cell>
          <cell r="F17" t="str">
            <v>MARITZA ROCIO OLIVA CUZ</v>
          </cell>
          <cell r="G17" t="str">
            <v>ID2177823635</v>
          </cell>
        </row>
        <row r="18">
          <cell r="A18">
            <v>45509</v>
          </cell>
          <cell r="B18">
            <v>2024001338</v>
          </cell>
          <cell r="C18" t="str">
            <v>399-2024</v>
          </cell>
          <cell r="D18">
            <v>2000000</v>
          </cell>
          <cell r="E18">
            <v>1193385397</v>
          </cell>
          <cell r="F18" t="str">
            <v>KAROL ESTEFANY MIRANDA TOBAR</v>
          </cell>
          <cell r="G18" t="str">
            <v>ID2177823635</v>
          </cell>
        </row>
        <row r="19">
          <cell r="A19">
            <v>45509</v>
          </cell>
          <cell r="B19">
            <v>2024001340</v>
          </cell>
          <cell r="C19" t="str">
            <v>381-2024</v>
          </cell>
          <cell r="D19">
            <v>7500000</v>
          </cell>
          <cell r="E19">
            <v>1085336362</v>
          </cell>
          <cell r="F19" t="str">
            <v>SOFIA ESMERALDA MEJIA ORTÍZ</v>
          </cell>
          <cell r="G19" t="str">
            <v>ID2177823635</v>
          </cell>
        </row>
        <row r="20">
          <cell r="A20">
            <v>45509</v>
          </cell>
          <cell r="B20">
            <v>2024001341</v>
          </cell>
          <cell r="C20" t="str">
            <v>390-2024</v>
          </cell>
          <cell r="D20">
            <v>7500000</v>
          </cell>
          <cell r="E20">
            <v>87065647</v>
          </cell>
          <cell r="F20" t="str">
            <v>JHON JAIME LOPEZ GUERRERO</v>
          </cell>
          <cell r="G20" t="str">
            <v>ID2177823635</v>
          </cell>
        </row>
        <row r="21">
          <cell r="A21">
            <v>45509</v>
          </cell>
          <cell r="B21">
            <v>2024001342</v>
          </cell>
          <cell r="C21" t="str">
            <v>178-2024</v>
          </cell>
          <cell r="D21">
            <v>2000000</v>
          </cell>
          <cell r="E21">
            <v>1007356378</v>
          </cell>
          <cell r="F21" t="str">
            <v>NAYIBI JANED MELO DELGADO</v>
          </cell>
          <cell r="G21" t="str">
            <v>ID2177823635</v>
          </cell>
        </row>
        <row r="22">
          <cell r="A22">
            <v>45509</v>
          </cell>
          <cell r="B22">
            <v>2024001343</v>
          </cell>
          <cell r="C22" t="str">
            <v>187-2024</v>
          </cell>
          <cell r="D22">
            <v>4750000</v>
          </cell>
          <cell r="E22">
            <v>1087414586</v>
          </cell>
          <cell r="F22" t="str">
            <v>YULY MARCELA MORALES LOPEZ</v>
          </cell>
          <cell r="G22" t="str">
            <v>ID2177823635</v>
          </cell>
        </row>
        <row r="23">
          <cell r="A23">
            <v>45509</v>
          </cell>
          <cell r="B23">
            <v>2024001344</v>
          </cell>
          <cell r="C23" t="str">
            <v>276-2024</v>
          </cell>
          <cell r="D23">
            <v>6000000</v>
          </cell>
          <cell r="E23">
            <v>27097289</v>
          </cell>
          <cell r="F23" t="str">
            <v>BLANCA MELVA GAVIRIA BRAVO</v>
          </cell>
          <cell r="G23" t="str">
            <v>ID2177823635</v>
          </cell>
        </row>
        <row r="24">
          <cell r="A24">
            <v>45509</v>
          </cell>
          <cell r="B24">
            <v>2024001345</v>
          </cell>
          <cell r="C24" t="str">
            <v>344-2024</v>
          </cell>
          <cell r="D24">
            <v>2000000</v>
          </cell>
          <cell r="E24">
            <v>12974849</v>
          </cell>
          <cell r="F24" t="str">
            <v>PABLO ERNESTO RIOBAMBA IPIALES</v>
          </cell>
          <cell r="G24" t="str">
            <v>ID2177823635</v>
          </cell>
        </row>
        <row r="25">
          <cell r="A25">
            <v>45509</v>
          </cell>
          <cell r="B25">
            <v>2024001346</v>
          </cell>
          <cell r="C25" t="str">
            <v>193-2024</v>
          </cell>
          <cell r="D25">
            <v>4825600</v>
          </cell>
          <cell r="E25">
            <v>30733517</v>
          </cell>
          <cell r="F25" t="str">
            <v>CARMEN  LILIANA ARCINIEGAS LÒPEZ</v>
          </cell>
          <cell r="G25" t="str">
            <v>ID2177823635</v>
          </cell>
        </row>
        <row r="26">
          <cell r="A26">
            <v>45509</v>
          </cell>
          <cell r="B26">
            <v>2024001347</v>
          </cell>
          <cell r="C26" t="str">
            <v>408-2024</v>
          </cell>
          <cell r="D26">
            <v>6000000</v>
          </cell>
          <cell r="E26">
            <v>1085246134</v>
          </cell>
          <cell r="F26" t="str">
            <v>DIANA CAROLINA ROSERO CONCHA</v>
          </cell>
          <cell r="G26" t="str">
            <v>ID2177823635</v>
          </cell>
        </row>
        <row r="27">
          <cell r="A27">
            <v>45510</v>
          </cell>
          <cell r="B27">
            <v>2024001349</v>
          </cell>
          <cell r="C27" t="str">
            <v>161-2024</v>
          </cell>
          <cell r="D27">
            <v>4825600</v>
          </cell>
          <cell r="E27">
            <v>1193385736</v>
          </cell>
          <cell r="F27" t="str">
            <v>JHONNY  ALEXANDER SEPULVEDA DUERO</v>
          </cell>
          <cell r="G27" t="str">
            <v>ID2177823635</v>
          </cell>
        </row>
        <row r="28">
          <cell r="A28">
            <v>45510</v>
          </cell>
          <cell r="B28">
            <v>2024001357</v>
          </cell>
          <cell r="C28" t="str">
            <v>409-2024</v>
          </cell>
          <cell r="D28">
            <v>2000000</v>
          </cell>
          <cell r="E28">
            <v>1081272025</v>
          </cell>
          <cell r="F28" t="str">
            <v>ANGIE GABRIELA ENRIQUEZ TACAN</v>
          </cell>
          <cell r="G28" t="str">
            <v>ID2177823635</v>
          </cell>
        </row>
        <row r="29">
          <cell r="A29">
            <v>45510</v>
          </cell>
          <cell r="B29">
            <v>2024001358</v>
          </cell>
          <cell r="C29" t="str">
            <v>284-2024</v>
          </cell>
          <cell r="D29">
            <v>7500000</v>
          </cell>
          <cell r="E29">
            <v>1085321192</v>
          </cell>
          <cell r="F29" t="str">
            <v>BRAYAN ANTONIO MADROÑERO QUINTERO</v>
          </cell>
          <cell r="G29" t="str">
            <v>ID2177823635</v>
          </cell>
        </row>
        <row r="30">
          <cell r="A30">
            <v>45510</v>
          </cell>
          <cell r="B30">
            <v>2024001360</v>
          </cell>
          <cell r="C30" t="str">
            <v>319-2024</v>
          </cell>
          <cell r="D30">
            <v>7500000</v>
          </cell>
          <cell r="E30">
            <v>1006946167</v>
          </cell>
          <cell r="F30" t="str">
            <v>LIZETH MARCELA ORTÌZ MUÑOZ</v>
          </cell>
          <cell r="G30" t="str">
            <v>ID2177823635</v>
          </cell>
        </row>
        <row r="31">
          <cell r="A31">
            <v>45512</v>
          </cell>
          <cell r="B31">
            <v>2024001364</v>
          </cell>
          <cell r="C31" t="str">
            <v>413-2024</v>
          </cell>
          <cell r="D31">
            <v>2000000</v>
          </cell>
          <cell r="E31">
            <v>59310524</v>
          </cell>
          <cell r="F31" t="str">
            <v>MAIGUAL MUÑOZ MARIBEL DEL CARMEN</v>
          </cell>
          <cell r="G31" t="str">
            <v>ID2177823635</v>
          </cell>
        </row>
        <row r="32">
          <cell r="A32">
            <v>45512</v>
          </cell>
          <cell r="B32">
            <v>2024001365</v>
          </cell>
          <cell r="C32" t="str">
            <v>275-2024</v>
          </cell>
          <cell r="D32">
            <v>2000000</v>
          </cell>
          <cell r="E32">
            <v>1193265360</v>
          </cell>
          <cell r="F32" t="str">
            <v>ADRIANA SOFIA ISANDARA NUPAN</v>
          </cell>
          <cell r="G32" t="str">
            <v>ID2177823635</v>
          </cell>
        </row>
        <row r="33">
          <cell r="A33">
            <v>45512</v>
          </cell>
          <cell r="B33">
            <v>2024001366</v>
          </cell>
          <cell r="C33" t="str">
            <v>218-2024</v>
          </cell>
          <cell r="D33">
            <v>7500000</v>
          </cell>
          <cell r="E33">
            <v>80765093</v>
          </cell>
          <cell r="F33" t="str">
            <v>FRANCISCO  RAFAEL ORTÍZ BENÌTEZ</v>
          </cell>
          <cell r="G33" t="str">
            <v>ID2177823635</v>
          </cell>
        </row>
        <row r="34">
          <cell r="A34">
            <v>45512</v>
          </cell>
          <cell r="B34">
            <v>2024001367</v>
          </cell>
          <cell r="C34" t="str">
            <v>392-2024</v>
          </cell>
          <cell r="D34">
            <v>2000000</v>
          </cell>
          <cell r="E34">
            <v>59314601</v>
          </cell>
          <cell r="F34" t="str">
            <v>CAROL VIVIANA RODRIGUEZ  CARDENAS</v>
          </cell>
          <cell r="G34" t="str">
            <v>ID2177823635</v>
          </cell>
        </row>
        <row r="35">
          <cell r="A35">
            <v>45512</v>
          </cell>
          <cell r="B35">
            <v>2024001368</v>
          </cell>
          <cell r="C35" t="str">
            <v>267-2024</v>
          </cell>
          <cell r="D35">
            <v>2000000</v>
          </cell>
          <cell r="E35">
            <v>1085323101</v>
          </cell>
          <cell r="F35" t="str">
            <v>ANGIE VIVIANA AULLON VASQUEZ</v>
          </cell>
          <cell r="G35" t="str">
            <v>ID2177823635</v>
          </cell>
        </row>
        <row r="36">
          <cell r="A36">
            <v>45512</v>
          </cell>
          <cell r="B36">
            <v>2024001369</v>
          </cell>
          <cell r="C36" t="str">
            <v>212-2024</v>
          </cell>
          <cell r="D36">
            <v>2000000</v>
          </cell>
          <cell r="E36">
            <v>1085286742</v>
          </cell>
          <cell r="F36" t="str">
            <v>VANESSA KATHERINE JOJOA ARIAS</v>
          </cell>
          <cell r="G36" t="str">
            <v>ID2177823635</v>
          </cell>
        </row>
        <row r="37">
          <cell r="A37">
            <v>45512</v>
          </cell>
          <cell r="B37">
            <v>2024001370</v>
          </cell>
          <cell r="C37" t="str">
            <v>322-2024</v>
          </cell>
          <cell r="D37">
            <v>2000000</v>
          </cell>
          <cell r="E37">
            <v>1086362994</v>
          </cell>
          <cell r="F37" t="str">
            <v>SARA  VICTORIA ALVAREZ FIGUEROA</v>
          </cell>
          <cell r="G37" t="str">
            <v>ID2177823635</v>
          </cell>
        </row>
        <row r="38">
          <cell r="A38">
            <v>45512</v>
          </cell>
          <cell r="B38">
            <v>2024001371</v>
          </cell>
          <cell r="C38" t="str">
            <v>361-2024</v>
          </cell>
          <cell r="D38">
            <v>2000000</v>
          </cell>
          <cell r="E38">
            <v>1085326198</v>
          </cell>
          <cell r="F38" t="str">
            <v>LEIDI YURANI RAMOS CORDOBA</v>
          </cell>
          <cell r="G38" t="str">
            <v>ID2177823635</v>
          </cell>
        </row>
        <row r="39">
          <cell r="A39">
            <v>45512</v>
          </cell>
          <cell r="B39">
            <v>2024001372</v>
          </cell>
          <cell r="C39" t="str">
            <v>391-2024</v>
          </cell>
          <cell r="D39">
            <v>2000000</v>
          </cell>
          <cell r="E39">
            <v>1088799034</v>
          </cell>
          <cell r="F39" t="str">
            <v>GREACE  ALEJANDRA CALPA CAICEDO</v>
          </cell>
          <cell r="G39" t="str">
            <v>ID2177823635</v>
          </cell>
        </row>
        <row r="40">
          <cell r="A40">
            <v>45512</v>
          </cell>
          <cell r="B40">
            <v>2024001373</v>
          </cell>
          <cell r="C40" t="str">
            <v>176-2024</v>
          </cell>
          <cell r="D40">
            <v>7500000</v>
          </cell>
          <cell r="E40">
            <v>1085329230</v>
          </cell>
          <cell r="F40" t="str">
            <v>MEHILIN TATIANA QUIMBIAMBA ORTÌZ</v>
          </cell>
          <cell r="G40" t="str">
            <v>ID2177823635</v>
          </cell>
        </row>
        <row r="41">
          <cell r="A41">
            <v>45512</v>
          </cell>
          <cell r="B41">
            <v>2024001374</v>
          </cell>
          <cell r="C41" t="str">
            <v>162-2024</v>
          </cell>
          <cell r="D41">
            <v>2000000</v>
          </cell>
          <cell r="E41">
            <v>1085327701</v>
          </cell>
          <cell r="F41" t="str">
            <v>MARIA JOSE LEITON ZUTTA</v>
          </cell>
          <cell r="G41" t="str">
            <v>ID2177823635</v>
          </cell>
        </row>
        <row r="42">
          <cell r="A42">
            <v>45512</v>
          </cell>
          <cell r="B42">
            <v>2024001375</v>
          </cell>
          <cell r="C42" t="str">
            <v>394-2024</v>
          </cell>
          <cell r="D42">
            <v>2000000</v>
          </cell>
          <cell r="E42">
            <v>1233189234</v>
          </cell>
          <cell r="F42" t="str">
            <v>YULLI KAROLINA CASTILLO PAZ</v>
          </cell>
          <cell r="G42" t="str">
            <v>ID2177823635</v>
          </cell>
        </row>
        <row r="43">
          <cell r="A43">
            <v>45512</v>
          </cell>
          <cell r="B43">
            <v>2024001376</v>
          </cell>
          <cell r="C43" t="str">
            <v>378-2024</v>
          </cell>
          <cell r="D43">
            <v>6000000</v>
          </cell>
          <cell r="E43">
            <v>1085337232</v>
          </cell>
          <cell r="F43" t="str">
            <v>JHON SEBASTIAN NARVAEZ DEJOY</v>
          </cell>
          <cell r="G43" t="str">
            <v>ID2177823635</v>
          </cell>
        </row>
        <row r="44">
          <cell r="A44">
            <v>45512</v>
          </cell>
          <cell r="B44">
            <v>2024001377</v>
          </cell>
          <cell r="C44" t="str">
            <v>398-2024</v>
          </cell>
          <cell r="D44">
            <v>4750000</v>
          </cell>
          <cell r="E44">
            <v>1085263018</v>
          </cell>
          <cell r="F44" t="str">
            <v>LUIS ALONSO GUEVARA DE LOS RIOS</v>
          </cell>
          <cell r="G44" t="str">
            <v>ID2177823635</v>
          </cell>
        </row>
        <row r="45">
          <cell r="A45">
            <v>45512</v>
          </cell>
          <cell r="B45">
            <v>2024001378</v>
          </cell>
          <cell r="C45" t="str">
            <v>164-2024</v>
          </cell>
          <cell r="D45">
            <v>4825600</v>
          </cell>
          <cell r="E45">
            <v>1085291221</v>
          </cell>
          <cell r="F45" t="str">
            <v>ELIZABETH ALEJANDRA TOBAR MORAN</v>
          </cell>
          <cell r="G45" t="str">
            <v>ID2177823635</v>
          </cell>
        </row>
        <row r="46">
          <cell r="A46">
            <v>45512</v>
          </cell>
          <cell r="B46">
            <v>2024001379</v>
          </cell>
          <cell r="C46" t="str">
            <v>281-2024</v>
          </cell>
          <cell r="D46">
            <v>4750000</v>
          </cell>
          <cell r="E46">
            <v>1087413951</v>
          </cell>
          <cell r="F46" t="str">
            <v>MAYERLY NORIDIA ASMAZA GETIAL</v>
          </cell>
          <cell r="G46" t="str">
            <v>ID2177823635</v>
          </cell>
        </row>
        <row r="47">
          <cell r="A47">
            <v>45512</v>
          </cell>
          <cell r="B47">
            <v>2024001380</v>
          </cell>
          <cell r="C47" t="str">
            <v>279-2024</v>
          </cell>
          <cell r="D47">
            <v>2000000</v>
          </cell>
          <cell r="E47">
            <v>59178610</v>
          </cell>
          <cell r="F47" t="str">
            <v>MONICA PATRICIA PANTOJA DUEÑAS</v>
          </cell>
          <cell r="G47" t="str">
            <v>ID2177823635</v>
          </cell>
        </row>
        <row r="48">
          <cell r="A48">
            <v>45513</v>
          </cell>
          <cell r="B48">
            <v>2024001392</v>
          </cell>
          <cell r="C48" t="str">
            <v>197-2024</v>
          </cell>
          <cell r="D48">
            <v>4825600</v>
          </cell>
          <cell r="E48">
            <v>1085337969</v>
          </cell>
          <cell r="F48" t="str">
            <v>SANTIAGO NICOLAS TULCAN REGALADO</v>
          </cell>
          <cell r="G48" t="str">
            <v>ID2177823635</v>
          </cell>
        </row>
        <row r="49">
          <cell r="A49">
            <v>45513</v>
          </cell>
          <cell r="B49">
            <v>2024001393</v>
          </cell>
          <cell r="C49" t="str">
            <v>160-2024</v>
          </cell>
          <cell r="D49">
            <v>2000000</v>
          </cell>
          <cell r="E49">
            <v>13070330</v>
          </cell>
          <cell r="F49" t="str">
            <v>ELBER ALFREDO CAMPAÑA IMBAQUIN</v>
          </cell>
          <cell r="G49" t="str">
            <v>ID2177823635</v>
          </cell>
        </row>
        <row r="50">
          <cell r="A50">
            <v>45513</v>
          </cell>
          <cell r="B50">
            <v>2024001394</v>
          </cell>
          <cell r="C50" t="str">
            <v>271-2024</v>
          </cell>
          <cell r="D50">
            <v>2000000</v>
          </cell>
          <cell r="E50">
            <v>59813323</v>
          </cell>
          <cell r="F50" t="str">
            <v>GARCIA JOJOA EDITH CRISTINA</v>
          </cell>
          <cell r="G50" t="str">
            <v>ID2177823635</v>
          </cell>
        </row>
        <row r="51">
          <cell r="A51">
            <v>45513</v>
          </cell>
          <cell r="B51">
            <v>2024001395</v>
          </cell>
          <cell r="C51" t="str">
            <v>215-2024</v>
          </cell>
          <cell r="D51">
            <v>4750000</v>
          </cell>
          <cell r="E51">
            <v>1085303067</v>
          </cell>
          <cell r="F51" t="str">
            <v>CINDY ESTEFANIA GONZALES DEL CASTILLO</v>
          </cell>
          <cell r="G51" t="str">
            <v>ID2177823635</v>
          </cell>
        </row>
        <row r="52">
          <cell r="A52">
            <v>45513</v>
          </cell>
          <cell r="B52">
            <v>2024001396</v>
          </cell>
          <cell r="C52" t="str">
            <v>285-2024</v>
          </cell>
          <cell r="D52">
            <v>2000000</v>
          </cell>
          <cell r="E52">
            <v>36758143</v>
          </cell>
          <cell r="F52" t="str">
            <v>LUCERITO DEL CARMEN REVELO BENAVIDES</v>
          </cell>
          <cell r="G52" t="str">
            <v>ID2177823635</v>
          </cell>
        </row>
        <row r="53">
          <cell r="A53">
            <v>45513</v>
          </cell>
          <cell r="B53">
            <v>2024001397</v>
          </cell>
          <cell r="C53" t="str">
            <v>268-2024</v>
          </cell>
          <cell r="D53">
            <v>2000000</v>
          </cell>
          <cell r="E53">
            <v>1004232508</v>
          </cell>
          <cell r="F53" t="str">
            <v>PABLO JOSÉ BADOS LÒPEZ</v>
          </cell>
          <cell r="G53" t="str">
            <v>ID2177823635</v>
          </cell>
        </row>
        <row r="54">
          <cell r="A54">
            <v>45513</v>
          </cell>
          <cell r="B54">
            <v>2024001398</v>
          </cell>
          <cell r="C54" t="str">
            <v>165-2024</v>
          </cell>
          <cell r="D54">
            <v>2000000</v>
          </cell>
          <cell r="E54">
            <v>1085286725</v>
          </cell>
          <cell r="F54" t="str">
            <v>DIANA CAROLINA ORTEGA CAICEDO</v>
          </cell>
          <cell r="G54" t="str">
            <v>ID2177823635</v>
          </cell>
        </row>
        <row r="55">
          <cell r="A55">
            <v>45513</v>
          </cell>
          <cell r="B55">
            <v>2024001399</v>
          </cell>
          <cell r="C55" t="str">
            <v>321-2024</v>
          </cell>
          <cell r="D55">
            <v>6000000</v>
          </cell>
          <cell r="E55">
            <v>1004213964</v>
          </cell>
          <cell r="F55" t="str">
            <v>JENIFFER  ARCOS GIL</v>
          </cell>
          <cell r="G55" t="str">
            <v>ID2177823635</v>
          </cell>
        </row>
        <row r="56">
          <cell r="A56">
            <v>45513</v>
          </cell>
          <cell r="B56">
            <v>2024001400</v>
          </cell>
          <cell r="C56" t="str">
            <v>219-2024</v>
          </cell>
          <cell r="D56">
            <v>2000000</v>
          </cell>
          <cell r="E56">
            <v>1085266584</v>
          </cell>
          <cell r="F56" t="str">
            <v>MARIA ALEJANDRA BENAVIDES AYALA</v>
          </cell>
          <cell r="G56" t="str">
            <v>ID2177823635</v>
          </cell>
        </row>
        <row r="57">
          <cell r="A57">
            <v>45513</v>
          </cell>
          <cell r="B57">
            <v>2024001401</v>
          </cell>
          <cell r="C57" t="str">
            <v>228-2024</v>
          </cell>
          <cell r="D57">
            <v>6000000</v>
          </cell>
          <cell r="E57">
            <v>1085275879</v>
          </cell>
          <cell r="F57" t="str">
            <v>DANIELA FERNANDA ERASO VALENCIA</v>
          </cell>
          <cell r="G57" t="str">
            <v>ID2177823635</v>
          </cell>
        </row>
        <row r="58">
          <cell r="A58">
            <v>45513</v>
          </cell>
          <cell r="B58">
            <v>2024001402</v>
          </cell>
          <cell r="C58" t="str">
            <v>177-2024</v>
          </cell>
          <cell r="D58">
            <v>2000000</v>
          </cell>
          <cell r="E58">
            <v>37084285</v>
          </cell>
          <cell r="F58" t="str">
            <v>JULIE ANDREA FREIRE MIER</v>
          </cell>
          <cell r="G58" t="str">
            <v>ID2177823635</v>
          </cell>
        </row>
        <row r="59">
          <cell r="A59">
            <v>45513</v>
          </cell>
          <cell r="B59">
            <v>2024001403</v>
          </cell>
          <cell r="C59" t="str">
            <v>163-2024</v>
          </cell>
          <cell r="D59">
            <v>2000000</v>
          </cell>
          <cell r="E59">
            <v>59834953</v>
          </cell>
          <cell r="F59" t="str">
            <v>PATRICIA YOLANDA PAZ  DELGADO</v>
          </cell>
          <cell r="G59" t="str">
            <v>ID2177823635</v>
          </cell>
        </row>
        <row r="60">
          <cell r="A60">
            <v>45516</v>
          </cell>
          <cell r="B60">
            <v>2024001404</v>
          </cell>
          <cell r="C60" t="str">
            <v>253-2024</v>
          </cell>
          <cell r="D60">
            <v>2000000</v>
          </cell>
          <cell r="E60">
            <v>1004592366</v>
          </cell>
          <cell r="F60" t="str">
            <v>IBONNE ALEJANDRA SILVA ARAUJO</v>
          </cell>
          <cell r="G60" t="str">
            <v>ID2177823635</v>
          </cell>
        </row>
        <row r="61">
          <cell r="A61">
            <v>45516</v>
          </cell>
          <cell r="B61">
            <v>2024001405</v>
          </cell>
          <cell r="C61" t="str">
            <v>183-2024</v>
          </cell>
          <cell r="D61">
            <v>6000000</v>
          </cell>
          <cell r="E61">
            <v>36951002</v>
          </cell>
          <cell r="F61" t="str">
            <v>NANCY VISITACIÓN CHAMORRO GUAICHAR</v>
          </cell>
          <cell r="G61" t="str">
            <v>ID2177823635</v>
          </cell>
        </row>
        <row r="62">
          <cell r="A62">
            <v>45516</v>
          </cell>
          <cell r="B62">
            <v>2024001406</v>
          </cell>
          <cell r="C62" t="str">
            <v>180-2024</v>
          </cell>
          <cell r="D62">
            <v>4750000</v>
          </cell>
          <cell r="E62">
            <v>59312865</v>
          </cell>
          <cell r="F62" t="str">
            <v>DIANA CAROLINA CORTES TAPIA</v>
          </cell>
          <cell r="G62" t="str">
            <v>ID2177823635</v>
          </cell>
        </row>
        <row r="63">
          <cell r="A63">
            <v>45516</v>
          </cell>
          <cell r="B63">
            <v>2024001407</v>
          </cell>
          <cell r="C63" t="str">
            <v>243-2024</v>
          </cell>
          <cell r="D63">
            <v>4825600</v>
          </cell>
          <cell r="E63">
            <v>59310145</v>
          </cell>
          <cell r="F63" t="str">
            <v>EDITH ANGELICA LOPEZ VILLARREAL</v>
          </cell>
          <cell r="G63" t="str">
            <v>ID2177823635</v>
          </cell>
        </row>
        <row r="64">
          <cell r="A64">
            <v>45516</v>
          </cell>
          <cell r="B64">
            <v>2024001408</v>
          </cell>
          <cell r="C64" t="str">
            <v>402-2024</v>
          </cell>
          <cell r="D64">
            <v>4825600</v>
          </cell>
          <cell r="E64">
            <v>1087643211</v>
          </cell>
          <cell r="F64" t="str">
            <v>NIEVES FERNANDA AZZA ORDOÑEZ</v>
          </cell>
          <cell r="G64" t="str">
            <v>ID2177823635</v>
          </cell>
        </row>
        <row r="65">
          <cell r="A65">
            <v>45516</v>
          </cell>
          <cell r="B65">
            <v>2024001409</v>
          </cell>
          <cell r="C65" t="str">
            <v>186-2024</v>
          </cell>
          <cell r="D65">
            <v>4825600</v>
          </cell>
          <cell r="E65">
            <v>87062845</v>
          </cell>
          <cell r="F65" t="str">
            <v>EDMER LEONARDO RUALES AYALA</v>
          </cell>
          <cell r="G65" t="str">
            <v>ID2177823635</v>
          </cell>
        </row>
        <row r="66">
          <cell r="A66">
            <v>45516</v>
          </cell>
          <cell r="B66">
            <v>2024001410</v>
          </cell>
          <cell r="C66" t="str">
            <v>154-2024</v>
          </cell>
          <cell r="D66">
            <v>4750000</v>
          </cell>
          <cell r="E66">
            <v>59821282</v>
          </cell>
          <cell r="F66" t="str">
            <v>XIMENA DEL ROSARIO LOPEZ MAYA</v>
          </cell>
          <cell r="G66" t="str">
            <v>ID2177823635</v>
          </cell>
        </row>
        <row r="67">
          <cell r="A67">
            <v>45516</v>
          </cell>
          <cell r="B67">
            <v>2024001411</v>
          </cell>
          <cell r="C67" t="str">
            <v>415-2024</v>
          </cell>
          <cell r="D67">
            <v>7500000</v>
          </cell>
          <cell r="E67">
            <v>1151934571</v>
          </cell>
          <cell r="F67" t="str">
            <v>ANGELA MARCELA OBANDO BASTIDAS</v>
          </cell>
          <cell r="G67" t="str">
            <v>ID2177823635</v>
          </cell>
        </row>
        <row r="68">
          <cell r="A68">
            <v>45516</v>
          </cell>
          <cell r="B68">
            <v>2024001412</v>
          </cell>
          <cell r="C68" t="str">
            <v>383-2024</v>
          </cell>
          <cell r="D68">
            <v>2000000</v>
          </cell>
          <cell r="E68">
            <v>1085295383</v>
          </cell>
          <cell r="F68" t="str">
            <v>ELOISA YERALDINE FREYRE GOMEZ</v>
          </cell>
          <cell r="G68" t="str">
            <v>ID2177823635</v>
          </cell>
        </row>
        <row r="69">
          <cell r="A69">
            <v>45516</v>
          </cell>
          <cell r="B69">
            <v>2024001413</v>
          </cell>
          <cell r="C69" t="str">
            <v>396-2024</v>
          </cell>
          <cell r="D69">
            <v>4825600</v>
          </cell>
          <cell r="E69">
            <v>59314451</v>
          </cell>
          <cell r="F69" t="str">
            <v>ERIKA JOHANNA OBANDO SANTACRUZ</v>
          </cell>
          <cell r="G69" t="str">
            <v>ID2177823635</v>
          </cell>
        </row>
        <row r="70">
          <cell r="A70">
            <v>45517</v>
          </cell>
          <cell r="B70">
            <v>2024001454</v>
          </cell>
          <cell r="C70" t="str">
            <v>413-2024</v>
          </cell>
          <cell r="D70">
            <v>180000</v>
          </cell>
          <cell r="E70">
            <v>59310524</v>
          </cell>
          <cell r="F70" t="str">
            <v>MAIGUAL MUÑOZ MARIBEL DEL CARMEN</v>
          </cell>
          <cell r="G70" t="str">
            <v>ID2177823635</v>
          </cell>
        </row>
        <row r="71">
          <cell r="A71">
            <v>45517</v>
          </cell>
          <cell r="B71">
            <v>2024001441</v>
          </cell>
          <cell r="C71" t="str">
            <v>196-2024</v>
          </cell>
          <cell r="D71">
            <v>6000000</v>
          </cell>
          <cell r="E71">
            <v>1085254626</v>
          </cell>
          <cell r="F71" t="str">
            <v>CAROLINA ISABEL PORTILLA TEPUD</v>
          </cell>
          <cell r="G71" t="str">
            <v>ID2177823635</v>
          </cell>
        </row>
        <row r="72">
          <cell r="A72">
            <v>45517</v>
          </cell>
          <cell r="B72">
            <v>2024001442</v>
          </cell>
          <cell r="C72" t="str">
            <v>213-2024</v>
          </cell>
          <cell r="D72">
            <v>6000000</v>
          </cell>
          <cell r="E72">
            <v>59837608</v>
          </cell>
          <cell r="F72" t="str">
            <v>ALBA DENIS ARGOTY SANTACRUZ</v>
          </cell>
          <cell r="G72" t="str">
            <v>ID2177823635</v>
          </cell>
        </row>
        <row r="73">
          <cell r="A73">
            <v>45517</v>
          </cell>
          <cell r="B73">
            <v>2024001443</v>
          </cell>
          <cell r="C73" t="str">
            <v>222-2024</v>
          </cell>
          <cell r="D73">
            <v>2000000</v>
          </cell>
          <cell r="E73">
            <v>1085255972</v>
          </cell>
          <cell r="F73" t="str">
            <v>ANDREA PAOLA MONTES PANTOJA</v>
          </cell>
          <cell r="G73" t="str">
            <v>ID2177823635</v>
          </cell>
        </row>
        <row r="74">
          <cell r="A74">
            <v>45517</v>
          </cell>
          <cell r="B74">
            <v>2024001444</v>
          </cell>
          <cell r="C74" t="str">
            <v>203-2024</v>
          </cell>
          <cell r="D74">
            <v>2000000</v>
          </cell>
          <cell r="E74">
            <v>1085339190</v>
          </cell>
          <cell r="F74" t="str">
            <v>KELLY YURANY JOJOA BOTINA</v>
          </cell>
          <cell r="G74" t="str">
            <v>ID2177823635</v>
          </cell>
        </row>
        <row r="75">
          <cell r="A75">
            <v>45517</v>
          </cell>
          <cell r="B75">
            <v>2024001445</v>
          </cell>
          <cell r="C75" t="str">
            <v>184-2024</v>
          </cell>
          <cell r="D75">
            <v>4750000</v>
          </cell>
          <cell r="E75">
            <v>59824313</v>
          </cell>
          <cell r="F75" t="str">
            <v>FANY LUCELY RODRIGUEZ CRIOLLO</v>
          </cell>
          <cell r="G75" t="str">
            <v>ID2177823635</v>
          </cell>
        </row>
        <row r="76">
          <cell r="A76">
            <v>45517</v>
          </cell>
          <cell r="B76">
            <v>2024001446</v>
          </cell>
          <cell r="C76" t="str">
            <v>400-2024</v>
          </cell>
          <cell r="D76">
            <v>2000000</v>
          </cell>
          <cell r="E76">
            <v>1144206777</v>
          </cell>
          <cell r="F76" t="str">
            <v>BRYAN ANDRES BASTIDAS RUALES</v>
          </cell>
          <cell r="G76" t="str">
            <v>ID2177823635</v>
          </cell>
        </row>
        <row r="77">
          <cell r="A77">
            <v>45517</v>
          </cell>
          <cell r="B77">
            <v>2024001447</v>
          </cell>
          <cell r="C77" t="str">
            <v>216-2024</v>
          </cell>
          <cell r="D77">
            <v>4750000</v>
          </cell>
          <cell r="E77">
            <v>1085293619</v>
          </cell>
          <cell r="F77" t="str">
            <v>JERALDINE  BASTIDAS OCAÑA</v>
          </cell>
          <cell r="G77" t="str">
            <v>ID2177823635</v>
          </cell>
        </row>
        <row r="78">
          <cell r="A78">
            <v>45517</v>
          </cell>
          <cell r="B78">
            <v>2024001448</v>
          </cell>
          <cell r="C78" t="str">
            <v>147-2024</v>
          </cell>
          <cell r="D78">
            <v>7500000</v>
          </cell>
          <cell r="E78">
            <v>12961661</v>
          </cell>
          <cell r="F78" t="str">
            <v>VICTOR HUGO QUENGUAN BURBANO</v>
          </cell>
          <cell r="G78" t="str">
            <v>ID2177823635</v>
          </cell>
        </row>
        <row r="79">
          <cell r="A79">
            <v>45517</v>
          </cell>
          <cell r="B79">
            <v>2024001449</v>
          </cell>
          <cell r="C79" t="str">
            <v>232-2024</v>
          </cell>
          <cell r="D79">
            <v>7500000</v>
          </cell>
          <cell r="E79">
            <v>37087120</v>
          </cell>
          <cell r="F79" t="str">
            <v>JOHANA CAROLINA CAICEDO GOYES</v>
          </cell>
          <cell r="G79" t="str">
            <v>ID2177823635</v>
          </cell>
        </row>
        <row r="80">
          <cell r="A80">
            <v>45517</v>
          </cell>
          <cell r="B80">
            <v>2024001450</v>
          </cell>
          <cell r="C80" t="str">
            <v>199-2024</v>
          </cell>
          <cell r="D80">
            <v>7500000</v>
          </cell>
          <cell r="E80">
            <v>1085304670</v>
          </cell>
          <cell r="F80" t="str">
            <v>PAOLA ANDREA VELEZ BOLAÑOS</v>
          </cell>
          <cell r="G80" t="str">
            <v>ID2177823635</v>
          </cell>
        </row>
        <row r="81">
          <cell r="A81">
            <v>45517</v>
          </cell>
          <cell r="B81">
            <v>2024001451</v>
          </cell>
          <cell r="C81" t="str">
            <v>206-2024</v>
          </cell>
          <cell r="D81">
            <v>7500000</v>
          </cell>
          <cell r="E81">
            <v>1193202097</v>
          </cell>
          <cell r="F81" t="str">
            <v>VERONICA SOFIA HUERTAS ARCINIEGAS</v>
          </cell>
          <cell r="G81" t="str">
            <v>ID2177823635</v>
          </cell>
        </row>
        <row r="82">
          <cell r="A82">
            <v>45517</v>
          </cell>
          <cell r="B82">
            <v>2024001452</v>
          </cell>
          <cell r="C82" t="str">
            <v>198-2024</v>
          </cell>
          <cell r="D82">
            <v>7500000</v>
          </cell>
          <cell r="E82">
            <v>1089244511</v>
          </cell>
          <cell r="F82" t="str">
            <v>DIDIER RAIMUNDO MENESES GUERRERO</v>
          </cell>
          <cell r="G82" t="str">
            <v>ID2177823635</v>
          </cell>
        </row>
        <row r="83">
          <cell r="A83">
            <v>45517</v>
          </cell>
          <cell r="B83">
            <v>2024001435</v>
          </cell>
          <cell r="C83" t="str">
            <v>265-2024</v>
          </cell>
          <cell r="D83">
            <v>115127950</v>
          </cell>
          <cell r="E83">
            <v>900633448</v>
          </cell>
          <cell r="F83" t="str">
            <v>EXPRESO SURAMERICANA DE TURISMO SAS</v>
          </cell>
          <cell r="G83" t="str">
            <v>ID2177823635</v>
          </cell>
        </row>
        <row r="84">
          <cell r="A84">
            <v>45518</v>
          </cell>
          <cell r="B84">
            <v>2024001456</v>
          </cell>
          <cell r="C84" t="str">
            <v>477-2024</v>
          </cell>
          <cell r="D84">
            <v>2000000</v>
          </cell>
          <cell r="E84">
            <v>1081052552</v>
          </cell>
          <cell r="F84" t="str">
            <v>ANGELA SOFIA CHACHINOY ALVAREZ</v>
          </cell>
          <cell r="G84" t="str">
            <v>ID2177823635</v>
          </cell>
        </row>
        <row r="85">
          <cell r="A85">
            <v>45518</v>
          </cell>
          <cell r="B85">
            <v>2024001457</v>
          </cell>
          <cell r="C85" t="str">
            <v>223-2024</v>
          </cell>
          <cell r="D85">
            <v>4750000</v>
          </cell>
          <cell r="E85">
            <v>1085273424</v>
          </cell>
          <cell r="F85" t="str">
            <v>SANDRA MILENA GARCÍA  REVELO</v>
          </cell>
          <cell r="G85" t="str">
            <v>ID2177823635</v>
          </cell>
        </row>
        <row r="86">
          <cell r="A86">
            <v>45518</v>
          </cell>
          <cell r="B86">
            <v>2024001458</v>
          </cell>
          <cell r="C86" t="str">
            <v>244-2024</v>
          </cell>
          <cell r="D86">
            <v>2000000</v>
          </cell>
          <cell r="E86">
            <v>69028150</v>
          </cell>
          <cell r="F86" t="str">
            <v>LYNN JANINA ORTIZ PAZ</v>
          </cell>
          <cell r="G86" t="str">
            <v>ID2177823635</v>
          </cell>
        </row>
        <row r="87">
          <cell r="A87">
            <v>45518</v>
          </cell>
          <cell r="B87">
            <v>2024001459</v>
          </cell>
          <cell r="C87" t="str">
            <v>412-2024</v>
          </cell>
          <cell r="D87">
            <v>2000000</v>
          </cell>
          <cell r="E87">
            <v>59833702</v>
          </cell>
          <cell r="F87" t="str">
            <v>AMANDA  LOPEZ HERNANDEZ</v>
          </cell>
          <cell r="G87" t="str">
            <v>ID2177823635</v>
          </cell>
        </row>
        <row r="88">
          <cell r="A88">
            <v>45518</v>
          </cell>
          <cell r="B88">
            <v>2024001460</v>
          </cell>
          <cell r="C88" t="str">
            <v>220-2024</v>
          </cell>
          <cell r="D88">
            <v>4825600</v>
          </cell>
          <cell r="E88">
            <v>1085283723</v>
          </cell>
          <cell r="F88" t="str">
            <v>DANIEL  ALEJANDRO ESCOBAR  ANDRADE</v>
          </cell>
          <cell r="G88" t="str">
            <v>ID2177823635</v>
          </cell>
        </row>
        <row r="89">
          <cell r="A89">
            <v>45518</v>
          </cell>
          <cell r="B89">
            <v>2024001463</v>
          </cell>
          <cell r="C89" t="str">
            <v>181-2024</v>
          </cell>
          <cell r="D89">
            <v>6000000</v>
          </cell>
          <cell r="E89">
            <v>37013610</v>
          </cell>
          <cell r="F89" t="str">
            <v>MARIA  IDER CASANOVA BURBANO</v>
          </cell>
          <cell r="G89" t="str">
            <v>ID2177823635</v>
          </cell>
        </row>
        <row r="90">
          <cell r="A90">
            <v>45518</v>
          </cell>
          <cell r="B90">
            <v>2024001464</v>
          </cell>
          <cell r="C90" t="str">
            <v>205-2024</v>
          </cell>
          <cell r="D90">
            <v>4825600</v>
          </cell>
          <cell r="E90">
            <v>27087851</v>
          </cell>
          <cell r="F90" t="str">
            <v>ADRIANA YORLADY ARMERO BURBANO</v>
          </cell>
          <cell r="G90" t="str">
            <v>ID2177823635</v>
          </cell>
        </row>
        <row r="91">
          <cell r="A91">
            <v>45518</v>
          </cell>
          <cell r="B91">
            <v>2024001465</v>
          </cell>
          <cell r="C91" t="str">
            <v>192-2024</v>
          </cell>
          <cell r="D91">
            <v>2000000</v>
          </cell>
          <cell r="E91">
            <v>1085250095</v>
          </cell>
          <cell r="F91" t="str">
            <v>LIDIA JIMENA RODRIGUEZ LOZA</v>
          </cell>
          <cell r="G91" t="str">
            <v>ID2177823635</v>
          </cell>
        </row>
        <row r="92">
          <cell r="A92">
            <v>45518</v>
          </cell>
          <cell r="B92">
            <v>2024001466</v>
          </cell>
          <cell r="C92" t="str">
            <v>229-2024</v>
          </cell>
          <cell r="D92">
            <v>2000000</v>
          </cell>
          <cell r="E92">
            <v>59828916</v>
          </cell>
          <cell r="F92" t="str">
            <v xml:space="preserve">ROCIO DEL PILAR RIVERA </v>
          </cell>
          <cell r="G92" t="str">
            <v>ID2177823635</v>
          </cell>
        </row>
        <row r="93">
          <cell r="A93">
            <v>45518</v>
          </cell>
          <cell r="B93">
            <v>2024001467</v>
          </cell>
          <cell r="C93" t="str">
            <v>173-2024</v>
          </cell>
          <cell r="D93">
            <v>2000000</v>
          </cell>
          <cell r="E93">
            <v>98382500</v>
          </cell>
          <cell r="F93" t="str">
            <v>JOSE JAVIER PINTA YAQUENO</v>
          </cell>
          <cell r="G93" t="str">
            <v>ID2177823635</v>
          </cell>
        </row>
        <row r="94">
          <cell r="A94">
            <v>45519</v>
          </cell>
          <cell r="B94">
            <v>2024001483</v>
          </cell>
          <cell r="C94" t="str">
            <v>282-2024</v>
          </cell>
          <cell r="D94">
            <v>2000000</v>
          </cell>
          <cell r="E94">
            <v>87070661</v>
          </cell>
          <cell r="F94" t="str">
            <v>EDER SHINEIDER TUTISTAR TUTISTAR</v>
          </cell>
          <cell r="G94" t="str">
            <v>ID2177823635</v>
          </cell>
        </row>
        <row r="95">
          <cell r="A95">
            <v>45519</v>
          </cell>
          <cell r="B95">
            <v>2024001484</v>
          </cell>
          <cell r="C95" t="str">
            <v>221-2024</v>
          </cell>
          <cell r="D95">
            <v>2000000</v>
          </cell>
          <cell r="E95">
            <v>1085296353</v>
          </cell>
          <cell r="F95" t="str">
            <v>VERONICA ROXANA MORAN VILLOTA</v>
          </cell>
          <cell r="G95" t="str">
            <v>ID2177823635</v>
          </cell>
        </row>
        <row r="96">
          <cell r="A96">
            <v>45519</v>
          </cell>
          <cell r="B96">
            <v>2024001485</v>
          </cell>
          <cell r="C96" t="str">
            <v>195-2024</v>
          </cell>
          <cell r="D96">
            <v>6000000</v>
          </cell>
          <cell r="E96">
            <v>1089242085</v>
          </cell>
          <cell r="F96" t="str">
            <v>DANNY YESID DELGADO MORA</v>
          </cell>
          <cell r="G96" t="str">
            <v>ID2177823635</v>
          </cell>
        </row>
        <row r="97">
          <cell r="A97">
            <v>45519</v>
          </cell>
          <cell r="B97">
            <v>2024001486</v>
          </cell>
          <cell r="C97" t="str">
            <v>471-2024</v>
          </cell>
          <cell r="D97">
            <v>2000000</v>
          </cell>
          <cell r="E97">
            <v>1081595853</v>
          </cell>
          <cell r="F97" t="str">
            <v>LICETH NEYIRETH RIVERA ROSERO</v>
          </cell>
          <cell r="G97" t="str">
            <v>ID2177823635</v>
          </cell>
        </row>
        <row r="98">
          <cell r="A98">
            <v>45519</v>
          </cell>
          <cell r="B98">
            <v>2024001487</v>
          </cell>
          <cell r="C98" t="str">
            <v>251-2024</v>
          </cell>
          <cell r="D98">
            <v>2000000</v>
          </cell>
          <cell r="E98">
            <v>1193218691</v>
          </cell>
          <cell r="F98" t="str">
            <v>BRENDA DAYANA TABLA PULISTAR</v>
          </cell>
          <cell r="G98" t="str">
            <v>ID2177823635</v>
          </cell>
        </row>
        <row r="99">
          <cell r="A99">
            <v>45519</v>
          </cell>
          <cell r="B99">
            <v>2024001488</v>
          </cell>
          <cell r="C99" t="str">
            <v>210-2024</v>
          </cell>
          <cell r="D99">
            <v>7500000</v>
          </cell>
          <cell r="E99">
            <v>1126004086</v>
          </cell>
          <cell r="F99" t="str">
            <v>JUAN  CAMILO ENRÍQUEZ ARCINIEGAS</v>
          </cell>
          <cell r="G99" t="str">
            <v>ID2177823635</v>
          </cell>
        </row>
        <row r="100">
          <cell r="A100">
            <v>45525</v>
          </cell>
          <cell r="B100">
            <v>2024001495</v>
          </cell>
          <cell r="C100" t="str">
            <v>254-2024</v>
          </cell>
          <cell r="D100">
            <v>2000000</v>
          </cell>
          <cell r="E100">
            <v>1085316191</v>
          </cell>
          <cell r="F100" t="str">
            <v>MARIA HOMAIRA GUEVARA CORAL</v>
          </cell>
          <cell r="G100" t="str">
            <v>ID2177823635</v>
          </cell>
        </row>
        <row r="101">
          <cell r="A101">
            <v>45525</v>
          </cell>
          <cell r="B101">
            <v>2024001496</v>
          </cell>
          <cell r="C101" t="str">
            <v>367-2024</v>
          </cell>
          <cell r="D101">
            <v>2000000</v>
          </cell>
          <cell r="E101">
            <v>1089243630</v>
          </cell>
          <cell r="F101" t="str">
            <v>YENIFER NAYIBE MENESES TOBAR</v>
          </cell>
          <cell r="G101" t="str">
            <v>ID2177823635</v>
          </cell>
        </row>
        <row r="102">
          <cell r="A102">
            <v>45525</v>
          </cell>
          <cell r="B102">
            <v>2024001498</v>
          </cell>
          <cell r="C102" t="str">
            <v>473-2024</v>
          </cell>
          <cell r="D102">
            <v>2000000</v>
          </cell>
          <cell r="E102">
            <v>30737741</v>
          </cell>
          <cell r="F102" t="str">
            <v>CLEOTILDE FLOR ALBA PIANDOY CUSIS</v>
          </cell>
          <cell r="G102" t="str">
            <v>ID2177823635</v>
          </cell>
        </row>
        <row r="103">
          <cell r="A103">
            <v>45525</v>
          </cell>
          <cell r="B103">
            <v>2024001500</v>
          </cell>
          <cell r="C103" t="str">
            <v>149-2024</v>
          </cell>
          <cell r="D103">
            <v>2000000</v>
          </cell>
          <cell r="E103">
            <v>1085300095</v>
          </cell>
          <cell r="F103" t="str">
            <v>AIDE CAROLINA RIASCOS ECHEVERRY</v>
          </cell>
          <cell r="G103" t="str">
            <v>ID2177823635</v>
          </cell>
        </row>
        <row r="104">
          <cell r="A104">
            <v>45525</v>
          </cell>
          <cell r="B104">
            <v>2024001501</v>
          </cell>
          <cell r="C104" t="str">
            <v>368-2024</v>
          </cell>
          <cell r="D104">
            <v>2000000</v>
          </cell>
          <cell r="E104">
            <v>27211504</v>
          </cell>
          <cell r="F104" t="str">
            <v>YUDY LILIANA BENAVIDES OJEDA</v>
          </cell>
          <cell r="G104" t="str">
            <v>ID2177823635</v>
          </cell>
        </row>
        <row r="105">
          <cell r="A105">
            <v>45525</v>
          </cell>
          <cell r="B105">
            <v>2024001502</v>
          </cell>
          <cell r="C105" t="str">
            <v>453-2024</v>
          </cell>
          <cell r="D105">
            <v>2000000</v>
          </cell>
          <cell r="E105">
            <v>13072447</v>
          </cell>
          <cell r="F105" t="str">
            <v>DANNY ALEXANDER ORTIZ MUÑOZ</v>
          </cell>
          <cell r="G105" t="str">
            <v>ID2177823635</v>
          </cell>
        </row>
        <row r="106">
          <cell r="A106">
            <v>45525</v>
          </cell>
          <cell r="B106">
            <v>2024001503</v>
          </cell>
          <cell r="C106" t="str">
            <v>239-2024</v>
          </cell>
          <cell r="D106">
            <v>2000000</v>
          </cell>
          <cell r="E106">
            <v>1004135064</v>
          </cell>
          <cell r="F106" t="str">
            <v>JESSICA FERNANDA LAGOS DAVID</v>
          </cell>
          <cell r="G106" t="str">
            <v>ID2177823635</v>
          </cell>
        </row>
        <row r="107">
          <cell r="A107">
            <v>45525</v>
          </cell>
          <cell r="B107">
            <v>2024001504</v>
          </cell>
          <cell r="C107" t="str">
            <v>246-2024</v>
          </cell>
          <cell r="D107">
            <v>2000000</v>
          </cell>
          <cell r="E107">
            <v>1010082397</v>
          </cell>
          <cell r="F107" t="str">
            <v>JAQUELINE CAMILA GENOY VILLOTA</v>
          </cell>
          <cell r="G107" t="str">
            <v>ID2177823635</v>
          </cell>
        </row>
        <row r="108">
          <cell r="A108">
            <v>45525</v>
          </cell>
          <cell r="B108">
            <v>2024001505</v>
          </cell>
          <cell r="C108" t="str">
            <v>373-2024</v>
          </cell>
          <cell r="D108">
            <v>2000000</v>
          </cell>
          <cell r="E108">
            <v>1085252263</v>
          </cell>
          <cell r="F108" t="str">
            <v>DEISY JOHANNA BASTIDAS JOJOA</v>
          </cell>
          <cell r="G108" t="str">
            <v>ID2177823635</v>
          </cell>
        </row>
        <row r="109">
          <cell r="A109">
            <v>45525</v>
          </cell>
          <cell r="B109">
            <v>2024001506</v>
          </cell>
          <cell r="C109" t="str">
            <v>247-2024</v>
          </cell>
          <cell r="D109">
            <v>2000000</v>
          </cell>
          <cell r="E109">
            <v>1080040858</v>
          </cell>
          <cell r="F109" t="str">
            <v>YEIMY ANABELY MONCAYO ARTEAGA</v>
          </cell>
          <cell r="G109" t="str">
            <v>ID2177823635</v>
          </cell>
        </row>
        <row r="110">
          <cell r="A110">
            <v>45525</v>
          </cell>
          <cell r="B110">
            <v>2024001507</v>
          </cell>
          <cell r="C110" t="str">
            <v>308-2024</v>
          </cell>
          <cell r="D110">
            <v>2000000</v>
          </cell>
          <cell r="E110">
            <v>5930737</v>
          </cell>
          <cell r="F110" t="str">
            <v>KARELIS NATALY ZHENG MONSALVE</v>
          </cell>
          <cell r="G110" t="str">
            <v>ID2177823635</v>
          </cell>
        </row>
        <row r="111">
          <cell r="A111">
            <v>45525</v>
          </cell>
          <cell r="B111">
            <v>2024001508</v>
          </cell>
          <cell r="C111" t="str">
            <v>364-2024</v>
          </cell>
          <cell r="D111">
            <v>2000000</v>
          </cell>
          <cell r="E111">
            <v>1085327677</v>
          </cell>
          <cell r="F111" t="str">
            <v>JINETH VANESA CONSTAIN LASSO</v>
          </cell>
          <cell r="G111" t="str">
            <v>ID2177823635</v>
          </cell>
        </row>
        <row r="112">
          <cell r="A112">
            <v>45525</v>
          </cell>
          <cell r="B112">
            <v>2024001509</v>
          </cell>
          <cell r="C112" t="str">
            <v>406-2024</v>
          </cell>
          <cell r="D112">
            <v>6000000</v>
          </cell>
          <cell r="E112">
            <v>27109314</v>
          </cell>
          <cell r="F112" t="str">
            <v>GABRIELA ALEJANDRA GUERRERO BRAVO</v>
          </cell>
          <cell r="G112" t="str">
            <v>ID2177823635</v>
          </cell>
        </row>
        <row r="113">
          <cell r="A113">
            <v>45525</v>
          </cell>
          <cell r="B113">
            <v>2024001510</v>
          </cell>
          <cell r="C113" t="str">
            <v>256-2024</v>
          </cell>
          <cell r="D113">
            <v>2000000</v>
          </cell>
          <cell r="E113">
            <v>1010113730</v>
          </cell>
          <cell r="F113" t="str">
            <v>DIANA MILENA PAZ NANDAR</v>
          </cell>
          <cell r="G113" t="str">
            <v>ID2177823635</v>
          </cell>
        </row>
        <row r="114">
          <cell r="A114">
            <v>45525</v>
          </cell>
          <cell r="B114">
            <v>2024001511</v>
          </cell>
          <cell r="C114" t="str">
            <v>360-2024</v>
          </cell>
          <cell r="D114">
            <v>4750000</v>
          </cell>
          <cell r="E114">
            <v>1085345772</v>
          </cell>
          <cell r="F114" t="str">
            <v>MARIA ISABEL ALVAREZ CAICEDO</v>
          </cell>
          <cell r="G114" t="str">
            <v>ID2177823635</v>
          </cell>
        </row>
        <row r="115">
          <cell r="A115">
            <v>45525</v>
          </cell>
          <cell r="B115">
            <v>2024001512</v>
          </cell>
          <cell r="C115" t="str">
            <v>287-2024</v>
          </cell>
          <cell r="D115">
            <v>4750000</v>
          </cell>
          <cell r="E115">
            <v>87060703</v>
          </cell>
          <cell r="F115" t="str">
            <v>JESUS ARMANDO MARTÍNEZ GÓMEZ</v>
          </cell>
          <cell r="G115" t="str">
            <v>ID2177823635</v>
          </cell>
        </row>
        <row r="116">
          <cell r="A116">
            <v>45525</v>
          </cell>
          <cell r="B116">
            <v>2024001513</v>
          </cell>
          <cell r="C116" t="str">
            <v>472-2024</v>
          </cell>
          <cell r="D116">
            <v>2000000</v>
          </cell>
          <cell r="E116">
            <v>12750863</v>
          </cell>
          <cell r="F116" t="str">
            <v>MARIO ANDRES ROSAS  ENRIQUEZ</v>
          </cell>
          <cell r="G116" t="str">
            <v>ID2177823635</v>
          </cell>
        </row>
        <row r="117">
          <cell r="A117">
            <v>45525</v>
          </cell>
          <cell r="B117">
            <v>2024001515</v>
          </cell>
          <cell r="C117" t="str">
            <v>262-2024</v>
          </cell>
          <cell r="D117">
            <v>2000000</v>
          </cell>
          <cell r="E117">
            <v>1085338575</v>
          </cell>
          <cell r="F117" t="str">
            <v>RAFAEL ARLEY ROSERO PINZA</v>
          </cell>
          <cell r="G117" t="str">
            <v>ID2177823635</v>
          </cell>
        </row>
        <row r="118">
          <cell r="A118">
            <v>45525</v>
          </cell>
          <cell r="B118">
            <v>2024001516</v>
          </cell>
          <cell r="C118" t="str">
            <v>280-2024</v>
          </cell>
          <cell r="D118">
            <v>2000000</v>
          </cell>
          <cell r="E118">
            <v>1193271854</v>
          </cell>
          <cell r="F118" t="str">
            <v>JUANITA MAYLIN VELASQUEZ REVELO</v>
          </cell>
          <cell r="G118" t="str">
            <v>ID2177823635</v>
          </cell>
        </row>
        <row r="119">
          <cell r="A119">
            <v>45525</v>
          </cell>
          <cell r="B119">
            <v>2024001517</v>
          </cell>
          <cell r="C119" t="str">
            <v>214-2024</v>
          </cell>
          <cell r="D119">
            <v>7500000</v>
          </cell>
          <cell r="E119">
            <v>1085335767</v>
          </cell>
          <cell r="F119" t="str">
            <v>LEIDY CRISTINA RODRÌGUEZ LÓPEZ</v>
          </cell>
          <cell r="G119" t="str">
            <v>ID2177823635</v>
          </cell>
        </row>
        <row r="120">
          <cell r="A120">
            <v>45525</v>
          </cell>
          <cell r="B120">
            <v>2024001518</v>
          </cell>
          <cell r="C120" t="str">
            <v>283-2024</v>
          </cell>
          <cell r="D120">
            <v>2000000</v>
          </cell>
          <cell r="E120">
            <v>1014857280</v>
          </cell>
          <cell r="F120" t="str">
            <v>LAURA VALENTINA PASCUAZA YUCUMA</v>
          </cell>
          <cell r="G120" t="str">
            <v>ID2177823635</v>
          </cell>
        </row>
        <row r="121">
          <cell r="A121">
            <v>45525</v>
          </cell>
          <cell r="B121">
            <v>2024001519</v>
          </cell>
          <cell r="C121" t="str">
            <v>233-2024</v>
          </cell>
          <cell r="D121">
            <v>4750000</v>
          </cell>
          <cell r="E121">
            <v>1085318201</v>
          </cell>
          <cell r="F121" t="str">
            <v>JAZMIN ELIZABETH ARCE CALDERON</v>
          </cell>
          <cell r="G121" t="str">
            <v>ID2177823635</v>
          </cell>
        </row>
        <row r="122">
          <cell r="A122">
            <v>45525</v>
          </cell>
          <cell r="B122">
            <v>2024001520</v>
          </cell>
          <cell r="C122" t="str">
            <v>151-2024</v>
          </cell>
          <cell r="D122">
            <v>2000000</v>
          </cell>
          <cell r="E122">
            <v>1004234290</v>
          </cell>
          <cell r="F122" t="str">
            <v>LAURA  SOFIA ROSERO DAVID</v>
          </cell>
          <cell r="G122" t="str">
            <v>ID2177823635</v>
          </cell>
        </row>
        <row r="123">
          <cell r="A123">
            <v>45525</v>
          </cell>
          <cell r="B123">
            <v>2024001521</v>
          </cell>
          <cell r="C123" t="str">
            <v>157-2024</v>
          </cell>
          <cell r="D123">
            <v>7500000</v>
          </cell>
          <cell r="E123">
            <v>1233189066</v>
          </cell>
          <cell r="F123" t="str">
            <v>GERALDINE  VIVIANA VILLOTA ARTEAGA</v>
          </cell>
          <cell r="G123" t="str">
            <v>ID2177823635</v>
          </cell>
        </row>
        <row r="124">
          <cell r="A124">
            <v>45525</v>
          </cell>
          <cell r="B124">
            <v>2024001522</v>
          </cell>
          <cell r="C124" t="str">
            <v>261-2024</v>
          </cell>
          <cell r="D124">
            <v>4825600</v>
          </cell>
          <cell r="E124">
            <v>1085289739</v>
          </cell>
          <cell r="F124" t="str">
            <v>YULY LORENA CABRERA DELGADO</v>
          </cell>
          <cell r="G124" t="str">
            <v>ID2177823635</v>
          </cell>
        </row>
        <row r="125">
          <cell r="A125">
            <v>45525</v>
          </cell>
          <cell r="B125">
            <v>2024001523</v>
          </cell>
          <cell r="C125" t="str">
            <v>366-2024</v>
          </cell>
          <cell r="D125">
            <v>2000000</v>
          </cell>
          <cell r="E125">
            <v>1137624011</v>
          </cell>
          <cell r="F125" t="str">
            <v>KAROL DAYANA TONGUINO TORO</v>
          </cell>
          <cell r="G125" t="str">
            <v>ID2177823635</v>
          </cell>
        </row>
        <row r="126">
          <cell r="A126">
            <v>45525</v>
          </cell>
          <cell r="B126">
            <v>2024001524</v>
          </cell>
          <cell r="C126" t="str">
            <v>376-2024</v>
          </cell>
          <cell r="D126">
            <v>4825600</v>
          </cell>
          <cell r="E126">
            <v>30732782</v>
          </cell>
          <cell r="F126" t="str">
            <v>ANA  MILENA ROSERO SANTANDER</v>
          </cell>
          <cell r="G126" t="str">
            <v>ID2177823635</v>
          </cell>
        </row>
        <row r="127">
          <cell r="A127">
            <v>45525</v>
          </cell>
          <cell r="B127">
            <v>2024001525</v>
          </cell>
          <cell r="C127" t="str">
            <v>217-2024</v>
          </cell>
          <cell r="D127">
            <v>4825600</v>
          </cell>
          <cell r="E127">
            <v>1085267184</v>
          </cell>
          <cell r="F127" t="str">
            <v>ANGELA PAOLA BOLAÐOS ARGOTI</v>
          </cell>
          <cell r="G127" t="str">
            <v>ID2177823635</v>
          </cell>
        </row>
        <row r="128">
          <cell r="A128">
            <v>45525</v>
          </cell>
          <cell r="B128">
            <v>2024001526</v>
          </cell>
          <cell r="C128" t="str">
            <v>236-2024</v>
          </cell>
          <cell r="D128">
            <v>4750000</v>
          </cell>
          <cell r="E128">
            <v>1085330309</v>
          </cell>
          <cell r="F128" t="str">
            <v>LEYDI GISELLA BENAVIDES LÒPEZ</v>
          </cell>
          <cell r="G128" t="str">
            <v>ID2177823635</v>
          </cell>
        </row>
        <row r="129">
          <cell r="A129">
            <v>45525</v>
          </cell>
          <cell r="B129">
            <v>2024001527</v>
          </cell>
          <cell r="C129" t="str">
            <v>362-2024</v>
          </cell>
          <cell r="D129">
            <v>2000000</v>
          </cell>
          <cell r="E129">
            <v>1085271641</v>
          </cell>
          <cell r="F129" t="str">
            <v>LISSETH MARISOL CUASTUMAL  CASTRO</v>
          </cell>
          <cell r="G129" t="str">
            <v>ID2177823635</v>
          </cell>
        </row>
        <row r="130">
          <cell r="A130">
            <v>45525</v>
          </cell>
          <cell r="B130">
            <v>2024001529</v>
          </cell>
          <cell r="C130" t="str">
            <v>361-2024</v>
          </cell>
          <cell r="D130">
            <v>2000000</v>
          </cell>
          <cell r="E130">
            <v>1085326198</v>
          </cell>
          <cell r="F130" t="str">
            <v>LEIDI YURANI RAMOS CORDOBA</v>
          </cell>
          <cell r="G130" t="str">
            <v>ID2177823635</v>
          </cell>
        </row>
        <row r="131">
          <cell r="A131">
            <v>45525</v>
          </cell>
          <cell r="B131">
            <v>2024001514</v>
          </cell>
          <cell r="C131" t="str">
            <v>375-2024</v>
          </cell>
          <cell r="D131">
            <v>4750000</v>
          </cell>
          <cell r="E131">
            <v>1087422930</v>
          </cell>
          <cell r="F131" t="str">
            <v>MARIA FERNANDA SANCHEZ CARDENAS</v>
          </cell>
          <cell r="G131" t="str">
            <v>ID2177823635</v>
          </cell>
        </row>
        <row r="132">
          <cell r="A132">
            <v>45525</v>
          </cell>
          <cell r="B132">
            <v>2024001532</v>
          </cell>
          <cell r="C132" t="str">
            <v>391-2024</v>
          </cell>
          <cell r="D132">
            <v>2000000</v>
          </cell>
          <cell r="E132">
            <v>1088799034</v>
          </cell>
          <cell r="F132" t="str">
            <v>GREACE  ALEJANDRA CALPA CAICEDO</v>
          </cell>
          <cell r="G132" t="str">
            <v>ID2177823635</v>
          </cell>
        </row>
        <row r="133">
          <cell r="A133">
            <v>45525</v>
          </cell>
          <cell r="B133">
            <v>2024001533</v>
          </cell>
          <cell r="C133" t="str">
            <v>478-2024</v>
          </cell>
          <cell r="D133">
            <v>2000000</v>
          </cell>
          <cell r="E133">
            <v>1085330237</v>
          </cell>
          <cell r="F133" t="str">
            <v>LUZ  MARINA BENAVIDES  BASTIDAS</v>
          </cell>
          <cell r="G133" t="str">
            <v>ID2177823635</v>
          </cell>
        </row>
        <row r="134">
          <cell r="A134">
            <v>45525</v>
          </cell>
          <cell r="B134">
            <v>2024001534</v>
          </cell>
          <cell r="C134" t="str">
            <v>491-2024</v>
          </cell>
          <cell r="D134">
            <v>2000000</v>
          </cell>
          <cell r="E134">
            <v>37087268</v>
          </cell>
          <cell r="F134" t="str">
            <v>ALEXANDRA MARIA ORTEGA ROSERO</v>
          </cell>
          <cell r="G134" t="str">
            <v>ID2177823635</v>
          </cell>
        </row>
        <row r="135">
          <cell r="A135">
            <v>45525</v>
          </cell>
          <cell r="B135">
            <v>2024001535</v>
          </cell>
          <cell r="C135" t="str">
            <v>492-2024</v>
          </cell>
          <cell r="D135">
            <v>2000000</v>
          </cell>
          <cell r="E135">
            <v>1085320930</v>
          </cell>
          <cell r="F135" t="str">
            <v>LINA YEZMIN DE LA CRUZ CUSIS</v>
          </cell>
          <cell r="G135" t="str">
            <v>ID2177823635</v>
          </cell>
        </row>
        <row r="136">
          <cell r="A136">
            <v>45525</v>
          </cell>
          <cell r="B136">
            <v>2024001542</v>
          </cell>
          <cell r="C136" t="str">
            <v>383-2024</v>
          </cell>
          <cell r="D136">
            <v>2000000</v>
          </cell>
          <cell r="E136">
            <v>1085295383</v>
          </cell>
          <cell r="F136" t="str">
            <v>ELOISA YERALDINE FREYRE GOMEZ</v>
          </cell>
          <cell r="G136" t="str">
            <v>ID2177823635</v>
          </cell>
        </row>
        <row r="137">
          <cell r="A137">
            <v>45525</v>
          </cell>
          <cell r="B137">
            <v>2024001544</v>
          </cell>
          <cell r="C137" t="str">
            <v>202-2024</v>
          </cell>
          <cell r="D137">
            <v>6000000</v>
          </cell>
          <cell r="E137">
            <v>59820414</v>
          </cell>
          <cell r="F137" t="str">
            <v>CORDOBA ARTEAGA CARMEN PATRICIA</v>
          </cell>
          <cell r="G137" t="str">
            <v>ID2177823635</v>
          </cell>
        </row>
        <row r="138">
          <cell r="A138">
            <v>45525</v>
          </cell>
          <cell r="B138">
            <v>2024001546</v>
          </cell>
          <cell r="C138" t="str">
            <v>374-2024</v>
          </cell>
          <cell r="D138">
            <v>2000000</v>
          </cell>
          <cell r="E138">
            <v>36752202</v>
          </cell>
          <cell r="F138" t="str">
            <v>PAULA ANDREA ROCHA DELGADO</v>
          </cell>
          <cell r="G138" t="str">
            <v>ID2177823635</v>
          </cell>
        </row>
        <row r="139">
          <cell r="A139">
            <v>45525</v>
          </cell>
          <cell r="B139">
            <v>2024001549</v>
          </cell>
          <cell r="C139" t="str">
            <v>242-2024</v>
          </cell>
          <cell r="D139">
            <v>2000000</v>
          </cell>
          <cell r="E139">
            <v>1010085543</v>
          </cell>
          <cell r="F139" t="str">
            <v>DANIELA VANESA MONTANCHEZ GOMAJOA</v>
          </cell>
          <cell r="G139" t="str">
            <v>ID2177823635</v>
          </cell>
        </row>
        <row r="140">
          <cell r="A140">
            <v>45525</v>
          </cell>
          <cell r="B140">
            <v>2024001551</v>
          </cell>
          <cell r="C140" t="str">
            <v>286-2024</v>
          </cell>
          <cell r="D140">
            <v>4750000</v>
          </cell>
          <cell r="E140">
            <v>1193383306</v>
          </cell>
          <cell r="F140" t="str">
            <v>MARIA  DE LOS ANGELES ACOSTA ROSERO</v>
          </cell>
          <cell r="G140" t="str">
            <v>ID2177823635</v>
          </cell>
        </row>
        <row r="141">
          <cell r="A141">
            <v>45525</v>
          </cell>
          <cell r="B141">
            <v>2024001531</v>
          </cell>
          <cell r="C141" t="str">
            <v>211-2024</v>
          </cell>
          <cell r="D141">
            <v>64529002</v>
          </cell>
          <cell r="E141">
            <v>900994364</v>
          </cell>
          <cell r="F141" t="str">
            <v>FUNDACIÓN CALIDAD DE VIDA Y ESPERANZA</v>
          </cell>
          <cell r="G141" t="str">
            <v>ID2177823635</v>
          </cell>
        </row>
        <row r="142">
          <cell r="A142">
            <v>45526</v>
          </cell>
          <cell r="B142">
            <v>2024001554</v>
          </cell>
          <cell r="C142" t="str">
            <v>259-2024</v>
          </cell>
          <cell r="D142">
            <v>2000000</v>
          </cell>
          <cell r="E142">
            <v>36757522</v>
          </cell>
          <cell r="F142" t="str">
            <v>VIKY PATRICIA ASCUNTAR CRIOLLO</v>
          </cell>
          <cell r="G142" t="str">
            <v>ID2177823635</v>
          </cell>
        </row>
        <row r="143">
          <cell r="A143">
            <v>45526</v>
          </cell>
          <cell r="B143">
            <v>2024001555</v>
          </cell>
          <cell r="C143" t="str">
            <v>200-2024</v>
          </cell>
          <cell r="D143">
            <v>4825600</v>
          </cell>
          <cell r="E143">
            <v>1085332406</v>
          </cell>
          <cell r="F143" t="str">
            <v>MERCY LORENA SACANAMBUY LOPEZ</v>
          </cell>
          <cell r="G143" t="str">
            <v>ID2177823635</v>
          </cell>
        </row>
        <row r="144">
          <cell r="A144">
            <v>45526</v>
          </cell>
          <cell r="B144">
            <v>2024001556</v>
          </cell>
          <cell r="C144" t="str">
            <v>253-2024</v>
          </cell>
          <cell r="D144">
            <v>2000000</v>
          </cell>
          <cell r="E144">
            <v>1004592366</v>
          </cell>
          <cell r="F144" t="str">
            <v>IBONNE ALEJANDRA SILVA ARAUJO</v>
          </cell>
          <cell r="G144" t="str">
            <v>ID2177823635</v>
          </cell>
        </row>
        <row r="145">
          <cell r="A145">
            <v>45526</v>
          </cell>
          <cell r="B145">
            <v>2024001557</v>
          </cell>
          <cell r="C145" t="str">
            <v>240-2024</v>
          </cell>
          <cell r="D145">
            <v>4800600</v>
          </cell>
          <cell r="E145">
            <v>1085321578</v>
          </cell>
          <cell r="F145" t="str">
            <v>CAROL  SUVANY HERRERA ERAZO</v>
          </cell>
          <cell r="G145" t="str">
            <v>ID2177823635</v>
          </cell>
        </row>
        <row r="146">
          <cell r="A146">
            <v>45526</v>
          </cell>
          <cell r="B146">
            <v>2024001558</v>
          </cell>
          <cell r="C146" t="str">
            <v>365-2024</v>
          </cell>
          <cell r="D146">
            <v>2000000</v>
          </cell>
          <cell r="E146">
            <v>1192717330</v>
          </cell>
          <cell r="F146" t="str">
            <v>CRISTIAN FABIAN CRIOLLO RIVERA</v>
          </cell>
          <cell r="G146" t="str">
            <v>ID2177823635</v>
          </cell>
        </row>
        <row r="147">
          <cell r="A147">
            <v>45526</v>
          </cell>
          <cell r="B147">
            <v>2024001559</v>
          </cell>
          <cell r="C147" t="str">
            <v>476-2024</v>
          </cell>
          <cell r="D147">
            <v>2000000</v>
          </cell>
          <cell r="E147">
            <v>1233189896</v>
          </cell>
          <cell r="F147" t="str">
            <v>NICOLAS EMILIO MENA  JOJOA</v>
          </cell>
          <cell r="G147" t="str">
            <v>ID2177823635</v>
          </cell>
        </row>
        <row r="148">
          <cell r="A148">
            <v>45526</v>
          </cell>
          <cell r="B148">
            <v>2024001561</v>
          </cell>
          <cell r="C148" t="str">
            <v>460-2024</v>
          </cell>
          <cell r="D148">
            <v>2000000</v>
          </cell>
          <cell r="E148">
            <v>59830219</v>
          </cell>
          <cell r="F148" t="str">
            <v>ADRIANA GABRIELA DIAZ MONTENEGRO</v>
          </cell>
          <cell r="G148" t="str">
            <v>ID2177823635</v>
          </cell>
        </row>
        <row r="149">
          <cell r="A149">
            <v>45526</v>
          </cell>
          <cell r="B149">
            <v>2024001562</v>
          </cell>
          <cell r="C149" t="str">
            <v>474-2024</v>
          </cell>
          <cell r="D149">
            <v>2000000</v>
          </cell>
          <cell r="E149">
            <v>1085327836</v>
          </cell>
          <cell r="F149" t="str">
            <v>ANGELA ESTEFANYA NASPIRAN  JOJOA</v>
          </cell>
          <cell r="G149" t="str">
            <v>ID2177823635</v>
          </cell>
        </row>
        <row r="150">
          <cell r="A150">
            <v>45526</v>
          </cell>
          <cell r="B150">
            <v>2024001563</v>
          </cell>
          <cell r="C150" t="str">
            <v>166-2024</v>
          </cell>
          <cell r="D150">
            <v>4750000</v>
          </cell>
          <cell r="E150">
            <v>1085325342</v>
          </cell>
          <cell r="F150" t="str">
            <v>JORGE LUIS CARVAJAL GUACHAVEZ</v>
          </cell>
          <cell r="G150" t="str">
            <v>ID2177823635</v>
          </cell>
        </row>
        <row r="151">
          <cell r="A151">
            <v>45526</v>
          </cell>
          <cell r="B151">
            <v>2024001564</v>
          </cell>
          <cell r="C151" t="str">
            <v>461-2024</v>
          </cell>
          <cell r="D151">
            <v>2000000</v>
          </cell>
          <cell r="E151">
            <v>27094521</v>
          </cell>
          <cell r="F151" t="str">
            <v>RUTH JACQUELINE GAMEZ PABON</v>
          </cell>
          <cell r="G151" t="str">
            <v>ID2177823635</v>
          </cell>
        </row>
        <row r="152">
          <cell r="A152">
            <v>45526</v>
          </cell>
          <cell r="B152">
            <v>2024001565</v>
          </cell>
          <cell r="C152" t="str">
            <v>438-2024</v>
          </cell>
          <cell r="D152">
            <v>2000000</v>
          </cell>
          <cell r="E152">
            <v>1085338232</v>
          </cell>
          <cell r="F152" t="str">
            <v>CLAUDIA DANIELA PAZ  RIVERA</v>
          </cell>
          <cell r="G152" t="str">
            <v>ID2177823635</v>
          </cell>
        </row>
        <row r="153">
          <cell r="A153">
            <v>45526</v>
          </cell>
          <cell r="B153">
            <v>2024001566</v>
          </cell>
          <cell r="C153" t="str">
            <v>238-2024</v>
          </cell>
          <cell r="D153">
            <v>2000000</v>
          </cell>
          <cell r="E153">
            <v>1004709928</v>
          </cell>
          <cell r="F153" t="str">
            <v>DEISY ANDREA MARTÍNEZ NARVAEZ</v>
          </cell>
          <cell r="G153" t="str">
            <v>ID2177823635</v>
          </cell>
        </row>
        <row r="154">
          <cell r="A154">
            <v>45526</v>
          </cell>
          <cell r="B154">
            <v>2024001567</v>
          </cell>
          <cell r="C154" t="str">
            <v>182-2024</v>
          </cell>
          <cell r="D154">
            <v>2000000</v>
          </cell>
          <cell r="E154">
            <v>1085344082</v>
          </cell>
          <cell r="F154" t="str">
            <v>NATALIA LIZETH AGUIRRE SALAZAR</v>
          </cell>
          <cell r="G154" t="str">
            <v>ID2177823635</v>
          </cell>
        </row>
        <row r="155">
          <cell r="A155">
            <v>45526</v>
          </cell>
          <cell r="B155">
            <v>2024001568</v>
          </cell>
          <cell r="C155" t="str">
            <v>496-2024</v>
          </cell>
          <cell r="D155">
            <v>2000000</v>
          </cell>
          <cell r="E155">
            <v>1085330079</v>
          </cell>
          <cell r="F155" t="str">
            <v>ANGIE GIONELLA HERNANDEZ VILLOTA</v>
          </cell>
          <cell r="G155" t="str">
            <v>ID2177823635</v>
          </cell>
        </row>
        <row r="156">
          <cell r="A156">
            <v>45526</v>
          </cell>
          <cell r="B156">
            <v>2024001569</v>
          </cell>
          <cell r="C156" t="str">
            <v>230-2024</v>
          </cell>
          <cell r="D156">
            <v>4825600</v>
          </cell>
          <cell r="E156">
            <v>1088730712</v>
          </cell>
          <cell r="F156" t="str">
            <v>ANGELA PATRICIA BASTIDAS  MELO</v>
          </cell>
          <cell r="G156" t="str">
            <v>ID2177823635</v>
          </cell>
        </row>
        <row r="157">
          <cell r="A157">
            <v>45526</v>
          </cell>
          <cell r="B157">
            <v>2024001571</v>
          </cell>
          <cell r="C157" t="str">
            <v>249-2024</v>
          </cell>
          <cell r="D157">
            <v>2000000</v>
          </cell>
          <cell r="E157">
            <v>59830040</v>
          </cell>
          <cell r="F157" t="str">
            <v>ANA CLEMENCIA BASTIDAS CERON</v>
          </cell>
          <cell r="G157" t="str">
            <v>ID2177823635</v>
          </cell>
        </row>
        <row r="158">
          <cell r="A158">
            <v>45526</v>
          </cell>
          <cell r="B158">
            <v>2024001572</v>
          </cell>
          <cell r="C158" t="str">
            <v>403-2024</v>
          </cell>
          <cell r="D158">
            <v>4825600</v>
          </cell>
          <cell r="E158">
            <v>12983807</v>
          </cell>
          <cell r="F158" t="str">
            <v>RICARDO  ENRIQUE VEGA MERA</v>
          </cell>
          <cell r="G158" t="str">
            <v>ID2177823635</v>
          </cell>
        </row>
        <row r="159">
          <cell r="A159">
            <v>45526</v>
          </cell>
          <cell r="B159">
            <v>2024001573</v>
          </cell>
          <cell r="C159" t="str">
            <v>404-2024</v>
          </cell>
          <cell r="D159">
            <v>6000000</v>
          </cell>
          <cell r="E159">
            <v>1085292185</v>
          </cell>
          <cell r="F159" t="str">
            <v>BRIGITT MARCELA BURBANO PUPIALES</v>
          </cell>
          <cell r="G159" t="str">
            <v>ID2177823635</v>
          </cell>
        </row>
        <row r="160">
          <cell r="A160">
            <v>45526</v>
          </cell>
          <cell r="B160">
            <v>2024001575</v>
          </cell>
          <cell r="C160" t="str">
            <v>264-2024</v>
          </cell>
          <cell r="D160">
            <v>2000000</v>
          </cell>
          <cell r="E160">
            <v>1085325718</v>
          </cell>
          <cell r="F160" t="str">
            <v>JUAN FERNANDO ZARAMA SILVA</v>
          </cell>
          <cell r="G160" t="str">
            <v>ID2177823635</v>
          </cell>
        </row>
        <row r="161">
          <cell r="A161">
            <v>45526</v>
          </cell>
          <cell r="B161">
            <v>2024001576</v>
          </cell>
          <cell r="C161" t="str">
            <v>264-2024</v>
          </cell>
          <cell r="D161">
            <v>2000000</v>
          </cell>
          <cell r="E161">
            <v>1085325718</v>
          </cell>
          <cell r="F161" t="str">
            <v>JUAN FERNANDO ZARAMA SILVA</v>
          </cell>
          <cell r="G161" t="str">
            <v>ID2177823635</v>
          </cell>
        </row>
        <row r="162">
          <cell r="A162">
            <v>45526</v>
          </cell>
          <cell r="B162">
            <v>2024001577</v>
          </cell>
          <cell r="C162" t="str">
            <v>493-2024</v>
          </cell>
          <cell r="D162">
            <v>2000000</v>
          </cell>
          <cell r="E162">
            <v>1085251468</v>
          </cell>
          <cell r="F162" t="str">
            <v>ROSAURA CAROLINA MADROÑERO DELGADO</v>
          </cell>
          <cell r="G162" t="str">
            <v>ID2177823635</v>
          </cell>
        </row>
        <row r="163">
          <cell r="A163">
            <v>45526</v>
          </cell>
          <cell r="B163">
            <v>2024001578</v>
          </cell>
          <cell r="C163" t="str">
            <v>392-2024</v>
          </cell>
          <cell r="D163">
            <v>2000000</v>
          </cell>
          <cell r="E163">
            <v>59314601</v>
          </cell>
          <cell r="F163" t="str">
            <v>CAROL VIVIANA RODRIGUEZ  CARDENAS</v>
          </cell>
          <cell r="G163" t="str">
            <v>ID2177823635</v>
          </cell>
        </row>
        <row r="164">
          <cell r="A164">
            <v>45526</v>
          </cell>
          <cell r="B164">
            <v>2024001579</v>
          </cell>
          <cell r="C164" t="str">
            <v>393-2024</v>
          </cell>
          <cell r="D164">
            <v>2000000</v>
          </cell>
          <cell r="E164">
            <v>1085331508</v>
          </cell>
          <cell r="F164" t="str">
            <v>NESLY YANID MUÑOZ ORTÍZ</v>
          </cell>
          <cell r="G164" t="str">
            <v>ID2177823635</v>
          </cell>
        </row>
        <row r="165">
          <cell r="A165">
            <v>45526</v>
          </cell>
          <cell r="B165">
            <v>2024001581</v>
          </cell>
          <cell r="C165" t="str">
            <v>470-2024</v>
          </cell>
          <cell r="D165">
            <v>2000000</v>
          </cell>
          <cell r="E165">
            <v>1086016308</v>
          </cell>
          <cell r="F165" t="str">
            <v>AYDE JACKELINE CABRERA CRIOLLO</v>
          </cell>
          <cell r="G165" t="str">
            <v>ID2177823635</v>
          </cell>
        </row>
        <row r="166">
          <cell r="A166">
            <v>45526</v>
          </cell>
          <cell r="B166">
            <v>2024001583</v>
          </cell>
          <cell r="C166" t="str">
            <v>497-2024</v>
          </cell>
          <cell r="D166">
            <v>2000000</v>
          </cell>
          <cell r="E166">
            <v>1085310465</v>
          </cell>
          <cell r="F166" t="str">
            <v>YAMILE ALEJANDRA BOTINA RODRIGUEZ</v>
          </cell>
          <cell r="G166" t="str">
            <v>ID2177823635</v>
          </cell>
        </row>
        <row r="167">
          <cell r="A167">
            <v>45530</v>
          </cell>
          <cell r="B167">
            <v>2024001599</v>
          </cell>
          <cell r="C167" t="str">
            <v>418-2024</v>
          </cell>
          <cell r="D167">
            <v>7500000</v>
          </cell>
          <cell r="E167">
            <v>12961407</v>
          </cell>
          <cell r="F167" t="str">
            <v>FRANCO JESUS RODRIGUEZ ARAUJO</v>
          </cell>
          <cell r="G167" t="str">
            <v>ID2177823635</v>
          </cell>
        </row>
        <row r="168">
          <cell r="A168">
            <v>45530</v>
          </cell>
          <cell r="B168">
            <v>2024001600</v>
          </cell>
          <cell r="C168" t="str">
            <v>387-2024</v>
          </cell>
          <cell r="D168">
            <v>6000000</v>
          </cell>
          <cell r="E168">
            <v>59836926</v>
          </cell>
          <cell r="F168" t="str">
            <v>DEYANIRA  BADOS DAZA</v>
          </cell>
          <cell r="G168" t="str">
            <v>ID2177823635</v>
          </cell>
        </row>
        <row r="169">
          <cell r="A169">
            <v>45530</v>
          </cell>
          <cell r="B169">
            <v>2024001601</v>
          </cell>
          <cell r="C169" t="str">
            <v>485-2024</v>
          </cell>
          <cell r="D169">
            <v>2000000</v>
          </cell>
          <cell r="E169">
            <v>36757715</v>
          </cell>
          <cell r="F169" t="str">
            <v>SONIA DEL ROCIO GOMEZ NARVAEZ</v>
          </cell>
          <cell r="G169" t="str">
            <v>ID2177823635</v>
          </cell>
        </row>
        <row r="170">
          <cell r="A170">
            <v>45530</v>
          </cell>
          <cell r="B170">
            <v>2024001602</v>
          </cell>
          <cell r="C170" t="str">
            <v>467-2024</v>
          </cell>
          <cell r="D170">
            <v>2000000</v>
          </cell>
          <cell r="E170">
            <v>1085337465</v>
          </cell>
          <cell r="F170" t="str">
            <v>LESLY NATHALIA MAIGUAL JURADO</v>
          </cell>
          <cell r="G170" t="str">
            <v>ID2177823635</v>
          </cell>
        </row>
        <row r="171">
          <cell r="A171">
            <v>45530</v>
          </cell>
          <cell r="B171">
            <v>2024001603</v>
          </cell>
          <cell r="C171" t="str">
            <v>487-2024</v>
          </cell>
          <cell r="D171">
            <v>2000000</v>
          </cell>
          <cell r="E171">
            <v>1193265831</v>
          </cell>
          <cell r="F171" t="str">
            <v>NAYIBE MARCELA LARA MATABANCHOY</v>
          </cell>
          <cell r="G171" t="str">
            <v>ID2177823635</v>
          </cell>
        </row>
        <row r="172">
          <cell r="A172">
            <v>45530</v>
          </cell>
          <cell r="B172">
            <v>2024001604</v>
          </cell>
          <cell r="C172" t="str">
            <v>452-2024</v>
          </cell>
          <cell r="D172">
            <v>2000000</v>
          </cell>
          <cell r="E172">
            <v>1081052090</v>
          </cell>
          <cell r="F172" t="str">
            <v>DIANA CAROLINA TISOY CHASOY</v>
          </cell>
          <cell r="G172" t="str">
            <v>ID2177823635</v>
          </cell>
        </row>
        <row r="173">
          <cell r="A173">
            <v>45530</v>
          </cell>
          <cell r="B173">
            <v>2024001605</v>
          </cell>
          <cell r="C173" t="str">
            <v>401-2024</v>
          </cell>
          <cell r="D173">
            <v>6000000</v>
          </cell>
          <cell r="E173">
            <v>1085253062</v>
          </cell>
          <cell r="F173" t="str">
            <v>LILIANA MAYER BOTINA CRIOLLO</v>
          </cell>
          <cell r="G173" t="str">
            <v>ID2177823635</v>
          </cell>
        </row>
        <row r="174">
          <cell r="A174">
            <v>45530</v>
          </cell>
          <cell r="B174">
            <v>2024001606</v>
          </cell>
          <cell r="C174" t="str">
            <v>255-2024</v>
          </cell>
          <cell r="D174">
            <v>2000000</v>
          </cell>
          <cell r="E174">
            <v>1085347540</v>
          </cell>
          <cell r="F174" t="str">
            <v>DANIELA ALEXANDRA PABON YARPAS</v>
          </cell>
          <cell r="G174" t="str">
            <v>ID2177823635</v>
          </cell>
        </row>
        <row r="175">
          <cell r="A175">
            <v>45530</v>
          </cell>
          <cell r="B175">
            <v>2024001607</v>
          </cell>
          <cell r="C175" t="str">
            <v>266-2024</v>
          </cell>
          <cell r="D175">
            <v>4750000</v>
          </cell>
          <cell r="E175">
            <v>1085324546</v>
          </cell>
          <cell r="F175" t="str">
            <v>ERIKA PAOLA ESTRADA  BURBANO</v>
          </cell>
          <cell r="G175" t="str">
            <v>ID2177823635</v>
          </cell>
        </row>
        <row r="176">
          <cell r="A176">
            <v>45531</v>
          </cell>
          <cell r="B176">
            <v>2024001610</v>
          </cell>
          <cell r="C176" t="str">
            <v>525-2024</v>
          </cell>
          <cell r="D176">
            <v>2625000</v>
          </cell>
          <cell r="E176">
            <v>1085904098</v>
          </cell>
          <cell r="F176" t="str">
            <v>JORGE ANDRES LOPEZ VELA</v>
          </cell>
          <cell r="G176" t="str">
            <v>ID2177823635</v>
          </cell>
        </row>
        <row r="177">
          <cell r="A177">
            <v>45531</v>
          </cell>
          <cell r="B177">
            <v>2024001613</v>
          </cell>
          <cell r="C177" t="str">
            <v>480-2024</v>
          </cell>
          <cell r="D177">
            <v>2000000</v>
          </cell>
          <cell r="E177">
            <v>1085290651</v>
          </cell>
          <cell r="F177" t="str">
            <v>INDIRA TAMARA PALACIOS BUSTOS</v>
          </cell>
          <cell r="G177" t="str">
            <v>ID2177823635</v>
          </cell>
        </row>
        <row r="178">
          <cell r="A178">
            <v>45531</v>
          </cell>
          <cell r="B178">
            <v>2024001614</v>
          </cell>
          <cell r="C178" t="str">
            <v>479-2024</v>
          </cell>
          <cell r="D178">
            <v>2000000</v>
          </cell>
          <cell r="E178">
            <v>1085314075</v>
          </cell>
          <cell r="F178" t="str">
            <v>LORENA CATERINE ASCUNTAR CUAJIBIOY</v>
          </cell>
          <cell r="G178" t="str">
            <v>ID2177823635</v>
          </cell>
        </row>
        <row r="179">
          <cell r="A179">
            <v>45531</v>
          </cell>
          <cell r="B179">
            <v>2024001615</v>
          </cell>
          <cell r="C179" t="str">
            <v>167-2024</v>
          </cell>
          <cell r="D179">
            <v>6000000</v>
          </cell>
          <cell r="E179">
            <v>97470681</v>
          </cell>
          <cell r="F179" t="str">
            <v>FERNANDO TEOFILO ROSERO PATIÑO</v>
          </cell>
          <cell r="G179" t="str">
            <v>ID2177823635</v>
          </cell>
        </row>
        <row r="180">
          <cell r="A180">
            <v>45531</v>
          </cell>
          <cell r="B180">
            <v>2024001616</v>
          </cell>
          <cell r="C180" t="str">
            <v>399-2024</v>
          </cell>
          <cell r="D180">
            <v>2000000</v>
          </cell>
          <cell r="E180">
            <v>1193385397</v>
          </cell>
          <cell r="F180" t="str">
            <v>KAROL ESTEFANY MIRANDA TOBAR</v>
          </cell>
          <cell r="G180" t="str">
            <v>ID2177823635</v>
          </cell>
        </row>
        <row r="181">
          <cell r="A181">
            <v>45531</v>
          </cell>
          <cell r="B181">
            <v>2024001617</v>
          </cell>
          <cell r="C181" t="str">
            <v>409-2024</v>
          </cell>
          <cell r="D181">
            <v>2000000</v>
          </cell>
          <cell r="E181">
            <v>1081272025</v>
          </cell>
          <cell r="F181" t="str">
            <v>ANGIE GABRIELA ENRIQUEZ TACAN</v>
          </cell>
          <cell r="G181" t="str">
            <v>ID2177823635</v>
          </cell>
        </row>
        <row r="182">
          <cell r="A182">
            <v>45531</v>
          </cell>
          <cell r="B182">
            <v>2024001618</v>
          </cell>
          <cell r="C182" t="str">
            <v>234-2024</v>
          </cell>
          <cell r="D182">
            <v>2000000</v>
          </cell>
          <cell r="E182">
            <v>1085313463</v>
          </cell>
          <cell r="F182" t="str">
            <v>JAZMIN DEL CARMEN NUPAN BURBANO</v>
          </cell>
          <cell r="G182" t="str">
            <v>ID2177823635</v>
          </cell>
        </row>
        <row r="183">
          <cell r="A183">
            <v>45531</v>
          </cell>
          <cell r="B183">
            <v>2024001619</v>
          </cell>
          <cell r="C183" t="str">
            <v>237-2024</v>
          </cell>
          <cell r="D183">
            <v>4825600</v>
          </cell>
          <cell r="E183">
            <v>1085269530</v>
          </cell>
          <cell r="F183" t="str">
            <v xml:space="preserve">CLARA MARIA ACOSTA </v>
          </cell>
          <cell r="G183" t="str">
            <v>ID2177823635</v>
          </cell>
        </row>
        <row r="184">
          <cell r="A184">
            <v>45531</v>
          </cell>
          <cell r="B184">
            <v>2024001620</v>
          </cell>
          <cell r="C184" t="str">
            <v>260-2024</v>
          </cell>
          <cell r="D184">
            <v>2000000</v>
          </cell>
          <cell r="E184">
            <v>1085261053</v>
          </cell>
          <cell r="F184" t="str">
            <v>ISABEL CRISTINA SANTACRUZ MUÑOZ</v>
          </cell>
          <cell r="G184" t="str">
            <v>ID2177823635</v>
          </cell>
        </row>
        <row r="185">
          <cell r="A185">
            <v>45531</v>
          </cell>
          <cell r="B185">
            <v>2024001621</v>
          </cell>
          <cell r="C185" t="str">
            <v>386-2024</v>
          </cell>
          <cell r="D185">
            <v>6000000</v>
          </cell>
          <cell r="E185">
            <v>1010010954</v>
          </cell>
          <cell r="F185" t="str">
            <v>JULIANA VALENTINA MENDEZ ORTÍZ</v>
          </cell>
          <cell r="G185" t="str">
            <v>ID2177823635</v>
          </cell>
        </row>
        <row r="186">
          <cell r="A186">
            <v>45531</v>
          </cell>
          <cell r="B186">
            <v>2024001622</v>
          </cell>
          <cell r="C186" t="str">
            <v>490-2024</v>
          </cell>
          <cell r="D186">
            <v>2000000</v>
          </cell>
          <cell r="E186">
            <v>1081273343</v>
          </cell>
          <cell r="F186" t="str">
            <v>MARIA FERNANDA VASQUEZ ARGOTI</v>
          </cell>
          <cell r="G186" t="str">
            <v>ID2177823635</v>
          </cell>
        </row>
        <row r="187">
          <cell r="A187">
            <v>45531</v>
          </cell>
          <cell r="B187">
            <v>2024001623</v>
          </cell>
          <cell r="C187" t="str">
            <v>486-2024</v>
          </cell>
          <cell r="D187">
            <v>2000000</v>
          </cell>
          <cell r="E187">
            <v>36759281</v>
          </cell>
          <cell r="F187" t="str">
            <v>VERONICA  HURTADO PASCUAZA</v>
          </cell>
          <cell r="G187" t="str">
            <v>ID2177823635</v>
          </cell>
        </row>
        <row r="188">
          <cell r="A188">
            <v>45531</v>
          </cell>
          <cell r="B188">
            <v>2024001624</v>
          </cell>
          <cell r="C188" t="str">
            <v>382-2024</v>
          </cell>
          <cell r="D188">
            <v>6000000</v>
          </cell>
          <cell r="E188">
            <v>36954410</v>
          </cell>
          <cell r="F188" t="str">
            <v>KARINA MARIBEL LUNA LOPEZ</v>
          </cell>
          <cell r="G188" t="str">
            <v>ID2177823635</v>
          </cell>
        </row>
        <row r="189">
          <cell r="A189">
            <v>45532</v>
          </cell>
          <cell r="B189">
            <v>2024001625</v>
          </cell>
          <cell r="C189" t="str">
            <v>484-2024</v>
          </cell>
          <cell r="D189">
            <v>2000000</v>
          </cell>
          <cell r="E189">
            <v>27309586</v>
          </cell>
          <cell r="F189" t="str">
            <v>LUCENY CENIDIA DAVID  RODRIGUEZ</v>
          </cell>
          <cell r="G189" t="str">
            <v>ID2177823635</v>
          </cell>
        </row>
        <row r="190">
          <cell r="A190">
            <v>45532</v>
          </cell>
          <cell r="B190">
            <v>2024001626</v>
          </cell>
          <cell r="C190" t="str">
            <v>489-2024</v>
          </cell>
          <cell r="D190">
            <v>2000000</v>
          </cell>
          <cell r="E190">
            <v>1004535115</v>
          </cell>
          <cell r="F190" t="str">
            <v>LISETH  MUÑOZ MARTINEZ</v>
          </cell>
          <cell r="G190" t="str">
            <v>ID2177823635</v>
          </cell>
        </row>
        <row r="191">
          <cell r="A191">
            <v>45532</v>
          </cell>
          <cell r="B191">
            <v>2024001628</v>
          </cell>
          <cell r="C191" t="str">
            <v>258-2024</v>
          </cell>
          <cell r="D191">
            <v>2000000</v>
          </cell>
          <cell r="E191">
            <v>27285974</v>
          </cell>
          <cell r="F191" t="str">
            <v>LUZDARI  JARAMILLO NOGUERA</v>
          </cell>
          <cell r="G191" t="str">
            <v>ID2177823635</v>
          </cell>
        </row>
        <row r="192">
          <cell r="A192">
            <v>45532</v>
          </cell>
          <cell r="B192">
            <v>2024001629</v>
          </cell>
          <cell r="C192" t="str">
            <v>377-2024</v>
          </cell>
          <cell r="D192">
            <v>4750000</v>
          </cell>
          <cell r="E192">
            <v>1233192618</v>
          </cell>
          <cell r="F192" t="str">
            <v>KARLA VALERIA AZA  CEPEDA</v>
          </cell>
          <cell r="G192" t="str">
            <v>ID2177823635</v>
          </cell>
        </row>
        <row r="193">
          <cell r="A193">
            <v>45532</v>
          </cell>
          <cell r="B193">
            <v>2024001630</v>
          </cell>
          <cell r="C193" t="str">
            <v>281-2024</v>
          </cell>
          <cell r="D193">
            <v>4750000</v>
          </cell>
          <cell r="E193">
            <v>1087413951</v>
          </cell>
          <cell r="F193" t="str">
            <v>MAYERLY NORIDIA ASMAZA GETIAL</v>
          </cell>
          <cell r="G193" t="str">
            <v>ID2177823635</v>
          </cell>
        </row>
        <row r="194">
          <cell r="A194">
            <v>45532</v>
          </cell>
          <cell r="B194">
            <v>2024001632</v>
          </cell>
          <cell r="C194" t="str">
            <v>272-2024</v>
          </cell>
          <cell r="D194">
            <v>2000000</v>
          </cell>
          <cell r="E194">
            <v>1081592303</v>
          </cell>
          <cell r="F194" t="str">
            <v>MARILIN  ZAMBRANO OBANDO</v>
          </cell>
          <cell r="G194" t="str">
            <v>ID2177823635</v>
          </cell>
        </row>
        <row r="195">
          <cell r="A195">
            <v>45532</v>
          </cell>
          <cell r="B195">
            <v>2024001633</v>
          </cell>
          <cell r="C195" t="str">
            <v>394-2024</v>
          </cell>
          <cell r="D195">
            <v>2000000</v>
          </cell>
          <cell r="E195">
            <v>1233189234</v>
          </cell>
          <cell r="F195" t="str">
            <v>YULLI KAROLINA CASTILLO PAZ</v>
          </cell>
          <cell r="G195" t="str">
            <v>ID2177823635</v>
          </cell>
        </row>
        <row r="196">
          <cell r="A196">
            <v>45532</v>
          </cell>
          <cell r="B196">
            <v>2024001634</v>
          </cell>
          <cell r="C196" t="str">
            <v>257-2024</v>
          </cell>
          <cell r="D196">
            <v>4750000</v>
          </cell>
          <cell r="E196">
            <v>1085318684</v>
          </cell>
          <cell r="F196" t="str">
            <v>JENIFER  AREVALO CRIOLLO</v>
          </cell>
          <cell r="G196" t="str">
            <v>ID2177823635</v>
          </cell>
        </row>
        <row r="197">
          <cell r="A197">
            <v>45532</v>
          </cell>
          <cell r="B197">
            <v>2024001636</v>
          </cell>
          <cell r="C197" t="str">
            <v>495-2024</v>
          </cell>
          <cell r="D197">
            <v>2000000</v>
          </cell>
          <cell r="E197">
            <v>27090145</v>
          </cell>
          <cell r="F197" t="str">
            <v>SANDRA PAOLA ROMO JURADO</v>
          </cell>
          <cell r="G197" t="str">
            <v>ID2177823635</v>
          </cell>
        </row>
        <row r="198">
          <cell r="A198">
            <v>45532</v>
          </cell>
          <cell r="B198">
            <v>2024001637</v>
          </cell>
          <cell r="C198" t="str">
            <v>385-2024</v>
          </cell>
          <cell r="D198">
            <v>7500000</v>
          </cell>
          <cell r="E198">
            <v>1085345430</v>
          </cell>
          <cell r="F198" t="str">
            <v>MARIA CAMILA PAZ ARCOS</v>
          </cell>
          <cell r="G198" t="str">
            <v>ID2177823635</v>
          </cell>
        </row>
        <row r="199">
          <cell r="A199">
            <v>45532</v>
          </cell>
          <cell r="B199">
            <v>2024001638</v>
          </cell>
          <cell r="C199" t="str">
            <v>270-2024</v>
          </cell>
          <cell r="D199">
            <v>7500000</v>
          </cell>
          <cell r="E199">
            <v>7603662</v>
          </cell>
          <cell r="F199" t="str">
            <v>FERNANDO ALBERTO ROMERO SOLANO</v>
          </cell>
          <cell r="G199" t="str">
            <v>ID2177823635</v>
          </cell>
        </row>
        <row r="200">
          <cell r="A200">
            <v>45532</v>
          </cell>
          <cell r="B200">
            <v>2024001639</v>
          </cell>
          <cell r="C200" t="str">
            <v>390-2024</v>
          </cell>
          <cell r="D200">
            <v>7500000</v>
          </cell>
          <cell r="E200">
            <v>87065647</v>
          </cell>
          <cell r="F200" t="str">
            <v>JHON JAIME LOPEZ GUERRERO</v>
          </cell>
          <cell r="G200" t="str">
            <v>ID2177823635</v>
          </cell>
        </row>
        <row r="201">
          <cell r="A201">
            <v>45532</v>
          </cell>
          <cell r="B201">
            <v>2024001640</v>
          </cell>
          <cell r="C201" t="str">
            <v>231-2024</v>
          </cell>
          <cell r="D201">
            <v>4825600</v>
          </cell>
          <cell r="E201">
            <v>59177204</v>
          </cell>
          <cell r="F201" t="str">
            <v>NAYIBI ROCIO MONCADA JATIVA</v>
          </cell>
          <cell r="G201" t="str">
            <v>ID2177823635</v>
          </cell>
        </row>
        <row r="202">
          <cell r="A202">
            <v>45532</v>
          </cell>
          <cell r="B202">
            <v>2024001641</v>
          </cell>
          <cell r="C202" t="str">
            <v>400-2024</v>
          </cell>
          <cell r="D202">
            <v>2000000</v>
          </cell>
          <cell r="E202">
            <v>1144206777</v>
          </cell>
          <cell r="F202" t="str">
            <v>BRYAN ANDRES BASTIDAS RUALES</v>
          </cell>
          <cell r="G202" t="str">
            <v>ID2177823635</v>
          </cell>
        </row>
        <row r="203">
          <cell r="A203">
            <v>45532</v>
          </cell>
          <cell r="B203">
            <v>2024001642</v>
          </cell>
          <cell r="C203" t="str">
            <v>381-2024</v>
          </cell>
          <cell r="D203">
            <v>7500000</v>
          </cell>
          <cell r="E203">
            <v>1085336362</v>
          </cell>
          <cell r="F203" t="str">
            <v>SOFIA ESMERALDA MEJIA ORTÍZ</v>
          </cell>
          <cell r="G203" t="str">
            <v>ID2177823635</v>
          </cell>
        </row>
        <row r="204">
          <cell r="A204">
            <v>45533</v>
          </cell>
          <cell r="B204">
            <v>2024001646</v>
          </cell>
          <cell r="C204" t="str">
            <v>209-2024</v>
          </cell>
          <cell r="D204">
            <v>4825600</v>
          </cell>
          <cell r="E204">
            <v>1085321943</v>
          </cell>
          <cell r="F204" t="str">
            <v>MARIA FERNANDA INGUILAN CARRERA</v>
          </cell>
          <cell r="G204" t="str">
            <v>ID2177823635</v>
          </cell>
        </row>
        <row r="205">
          <cell r="A205">
            <v>45533</v>
          </cell>
          <cell r="B205">
            <v>2024001647</v>
          </cell>
          <cell r="C205" t="str">
            <v>277-2024</v>
          </cell>
          <cell r="D205">
            <v>2000000</v>
          </cell>
          <cell r="E205">
            <v>1004726758</v>
          </cell>
          <cell r="F205" t="str">
            <v>NORIDA JULIETH TOBAR ARTEAGA</v>
          </cell>
          <cell r="G205" t="str">
            <v>ID2177823635</v>
          </cell>
        </row>
        <row r="206">
          <cell r="A206">
            <v>45533</v>
          </cell>
          <cell r="B206">
            <v>2024001648</v>
          </cell>
          <cell r="C206" t="str">
            <v>194-2024</v>
          </cell>
          <cell r="D206">
            <v>2000000</v>
          </cell>
          <cell r="E206">
            <v>1004508436</v>
          </cell>
          <cell r="F206" t="str">
            <v>VALERIA FERNANDA CUASQUER CANTUCA</v>
          </cell>
          <cell r="G206" t="str">
            <v>ID2177823635</v>
          </cell>
        </row>
        <row r="207">
          <cell r="A207">
            <v>45533</v>
          </cell>
          <cell r="B207">
            <v>2024001649</v>
          </cell>
          <cell r="C207" t="str">
            <v>500-2024</v>
          </cell>
          <cell r="D207">
            <v>2000000</v>
          </cell>
          <cell r="E207">
            <v>1085338135</v>
          </cell>
          <cell r="F207" t="str">
            <v>NATHALIE CAROLINA ESTRADA SE LA CRUZ</v>
          </cell>
          <cell r="G207" t="str">
            <v>ID2177823635</v>
          </cell>
        </row>
        <row r="208">
          <cell r="A208">
            <v>45533</v>
          </cell>
          <cell r="B208">
            <v>2024001650</v>
          </cell>
          <cell r="C208" t="str">
            <v>469-2024</v>
          </cell>
          <cell r="D208">
            <v>2000000</v>
          </cell>
          <cell r="E208">
            <v>1085269090</v>
          </cell>
          <cell r="F208" t="str">
            <v>FHALOM CAROLINA ROSERO TORRES</v>
          </cell>
          <cell r="G208" t="str">
            <v>ID2177823635</v>
          </cell>
        </row>
        <row r="209">
          <cell r="A209">
            <v>45546</v>
          </cell>
          <cell r="B209">
            <v>2024001549</v>
          </cell>
          <cell r="C209" t="str">
            <v>242-2024</v>
          </cell>
          <cell r="D209">
            <v>2000000</v>
          </cell>
          <cell r="E209">
            <v>1010085543</v>
          </cell>
          <cell r="F209" t="str">
            <v>DANIELA VANESA MONTANCHEZ GOMAJOA</v>
          </cell>
          <cell r="G209" t="str">
            <v>ID2177823635</v>
          </cell>
        </row>
        <row r="210">
          <cell r="A210">
            <v>45537</v>
          </cell>
          <cell r="B210">
            <v>2024001654</v>
          </cell>
          <cell r="C210" t="str">
            <v>210-2024</v>
          </cell>
          <cell r="D210">
            <v>7500000</v>
          </cell>
          <cell r="E210">
            <v>1126004086</v>
          </cell>
          <cell r="F210" t="str">
            <v>JUAN  CAMILO ENRÍQUEZ ARCINIEGAS</v>
          </cell>
          <cell r="G210" t="str">
            <v>ID2177823635</v>
          </cell>
        </row>
        <row r="211">
          <cell r="A211">
            <v>45537</v>
          </cell>
          <cell r="B211">
            <v>2024001665</v>
          </cell>
          <cell r="C211" t="str">
            <v>321-2024</v>
          </cell>
          <cell r="D211">
            <v>6000000</v>
          </cell>
          <cell r="E211">
            <v>1004213964</v>
          </cell>
          <cell r="F211" t="str">
            <v>JENIFFER  ARCOS GIL</v>
          </cell>
          <cell r="G211" t="str">
            <v>ID2177823635</v>
          </cell>
        </row>
        <row r="212">
          <cell r="A212">
            <v>45537</v>
          </cell>
          <cell r="B212">
            <v>2024001670</v>
          </cell>
          <cell r="C212" t="str">
            <v>449-2024</v>
          </cell>
          <cell r="D212">
            <v>2000000</v>
          </cell>
          <cell r="E212">
            <v>59311646</v>
          </cell>
          <cell r="F212" t="str">
            <v>DIANA CAROLINA MORAN CRUZ</v>
          </cell>
          <cell r="G212" t="str">
            <v>ID2177823635</v>
          </cell>
        </row>
        <row r="213">
          <cell r="A213">
            <v>45538</v>
          </cell>
          <cell r="B213">
            <v>2024001685</v>
          </cell>
          <cell r="C213" t="str">
            <v>408-2024</v>
          </cell>
          <cell r="D213">
            <v>6000000</v>
          </cell>
          <cell r="E213">
            <v>1085246134</v>
          </cell>
          <cell r="F213" t="str">
            <v>DIANA CAROLINA ROSERO CONCHA</v>
          </cell>
          <cell r="G213" t="str">
            <v>ID2177823635</v>
          </cell>
        </row>
        <row r="214">
          <cell r="A214">
            <v>45538</v>
          </cell>
          <cell r="B214">
            <v>2024001686</v>
          </cell>
          <cell r="C214" t="str">
            <v>454-2024</v>
          </cell>
          <cell r="D214">
            <v>2000000</v>
          </cell>
          <cell r="E214">
            <v>1085289798</v>
          </cell>
          <cell r="F214" t="str">
            <v>DIEGO FERNANDO DELGADO ERASO</v>
          </cell>
          <cell r="G214" t="str">
            <v>ID2177823635</v>
          </cell>
        </row>
        <row r="215">
          <cell r="A215">
            <v>45538</v>
          </cell>
          <cell r="B215">
            <v>2024001687</v>
          </cell>
          <cell r="C215" t="str">
            <v>308-2024</v>
          </cell>
          <cell r="D215">
            <v>2000000</v>
          </cell>
          <cell r="E215">
            <v>5930737</v>
          </cell>
          <cell r="F215" t="str">
            <v>KARELIS NATALY ZHENG MONSALVE</v>
          </cell>
          <cell r="G215" t="str">
            <v>ID2177823635</v>
          </cell>
        </row>
        <row r="216">
          <cell r="A216">
            <v>45538</v>
          </cell>
          <cell r="B216">
            <v>2024001688</v>
          </cell>
          <cell r="C216" t="str">
            <v>170-2024</v>
          </cell>
          <cell r="D216">
            <v>4825600</v>
          </cell>
          <cell r="E216">
            <v>37082349</v>
          </cell>
          <cell r="F216" t="str">
            <v>PAULA XIMENA CHÁVES PASMIÑO</v>
          </cell>
          <cell r="G216" t="str">
            <v>ID2177823635</v>
          </cell>
        </row>
        <row r="217">
          <cell r="A217">
            <v>45539</v>
          </cell>
          <cell r="B217">
            <v>2024001694</v>
          </cell>
          <cell r="C217" t="str">
            <v>161-2024</v>
          </cell>
          <cell r="D217">
            <v>4825600</v>
          </cell>
          <cell r="E217">
            <v>1193385736</v>
          </cell>
          <cell r="F217" t="str">
            <v>JHONNY  ALEXANDER SEPULVEDA DUERO</v>
          </cell>
          <cell r="G217" t="str">
            <v>ID2177823635</v>
          </cell>
        </row>
        <row r="218">
          <cell r="A218">
            <v>45539</v>
          </cell>
          <cell r="B218">
            <v>2024001695</v>
          </cell>
          <cell r="C218" t="str">
            <v>262-2024</v>
          </cell>
          <cell r="D218">
            <v>2000000</v>
          </cell>
          <cell r="E218">
            <v>1085338575</v>
          </cell>
          <cell r="F218" t="str">
            <v>RAFAEL ARLEY ROSERO PINZA</v>
          </cell>
          <cell r="G218" t="str">
            <v>ID2177823635</v>
          </cell>
        </row>
        <row r="219">
          <cell r="A219">
            <v>45539</v>
          </cell>
          <cell r="B219">
            <v>2024001696</v>
          </cell>
          <cell r="C219" t="str">
            <v>267-2024</v>
          </cell>
          <cell r="D219">
            <v>2000000</v>
          </cell>
          <cell r="E219">
            <v>1085323101</v>
          </cell>
          <cell r="F219" t="str">
            <v>ANGIE VIVIANA AULLON VASQUEZ</v>
          </cell>
          <cell r="G219" t="str">
            <v>ID2177823635</v>
          </cell>
        </row>
        <row r="220">
          <cell r="A220">
            <v>45539</v>
          </cell>
          <cell r="B220">
            <v>2024001697</v>
          </cell>
          <cell r="C220" t="str">
            <v>398-2024</v>
          </cell>
          <cell r="D220">
            <v>4750000</v>
          </cell>
          <cell r="E220">
            <v>1085263018</v>
          </cell>
          <cell r="F220" t="str">
            <v>LUIS ALONSO GUEVARA DE LOS RIOS</v>
          </cell>
          <cell r="G220" t="str">
            <v>ID2177823635</v>
          </cell>
        </row>
        <row r="221">
          <cell r="A221">
            <v>45539</v>
          </cell>
          <cell r="B221">
            <v>2024001698</v>
          </cell>
          <cell r="C221" t="str">
            <v>344-2024</v>
          </cell>
          <cell r="D221">
            <v>2000000</v>
          </cell>
          <cell r="E221">
            <v>12974849</v>
          </cell>
          <cell r="F221" t="str">
            <v>PABLO ERNESTO RIOBAMBA IPIALES</v>
          </cell>
          <cell r="G221" t="str">
            <v>ID2177823635</v>
          </cell>
        </row>
        <row r="222">
          <cell r="A222">
            <v>45539</v>
          </cell>
          <cell r="B222">
            <v>2024001699</v>
          </cell>
          <cell r="C222" t="str">
            <v>156-2024</v>
          </cell>
          <cell r="D222">
            <v>7500000</v>
          </cell>
          <cell r="E222">
            <v>1085332934</v>
          </cell>
          <cell r="F222" t="str">
            <v>NELLY VANESSA ORDOÑEZ BASTIDAS</v>
          </cell>
          <cell r="G222" t="str">
            <v>ID2177823635</v>
          </cell>
        </row>
        <row r="223">
          <cell r="A223">
            <v>45539</v>
          </cell>
          <cell r="B223">
            <v>2024001700</v>
          </cell>
          <cell r="C223" t="str">
            <v>284-2024</v>
          </cell>
          <cell r="D223">
            <v>7500000</v>
          </cell>
          <cell r="E223">
            <v>1085321192</v>
          </cell>
          <cell r="F223" t="str">
            <v>BRAYAN ANTONIO MADROÑERO QUINTERO</v>
          </cell>
          <cell r="G223" t="str">
            <v>ID2177823635</v>
          </cell>
        </row>
        <row r="224">
          <cell r="A224">
            <v>45539</v>
          </cell>
          <cell r="B224">
            <v>2024001701</v>
          </cell>
          <cell r="C224" t="str">
            <v>148-2024</v>
          </cell>
          <cell r="D224">
            <v>4825600</v>
          </cell>
          <cell r="E224">
            <v>1085338534</v>
          </cell>
          <cell r="F224" t="str">
            <v>ANA VICTORIA ORTEGA GOMEZ</v>
          </cell>
          <cell r="G224" t="str">
            <v>ID2177823635</v>
          </cell>
        </row>
        <row r="225">
          <cell r="A225">
            <v>45539</v>
          </cell>
          <cell r="B225">
            <v>2024001702</v>
          </cell>
          <cell r="C225" t="str">
            <v>285-2024</v>
          </cell>
          <cell r="D225">
            <v>2000000</v>
          </cell>
          <cell r="E225">
            <v>36758143</v>
          </cell>
          <cell r="F225" t="str">
            <v>LUCERITO DEL CARMEN REVELO BENAVIDES</v>
          </cell>
          <cell r="G225" t="str">
            <v>ID2177823635</v>
          </cell>
        </row>
        <row r="226">
          <cell r="A226">
            <v>45539</v>
          </cell>
          <cell r="B226">
            <v>2024001703</v>
          </cell>
          <cell r="C226" t="str">
            <v>268-2024</v>
          </cell>
          <cell r="D226">
            <v>2000000</v>
          </cell>
          <cell r="E226">
            <v>1004232508</v>
          </cell>
          <cell r="F226" t="str">
            <v>PABLO JOSÉ BADOS LÒPEZ</v>
          </cell>
          <cell r="G226" t="str">
            <v>ID2177823635</v>
          </cell>
        </row>
        <row r="227">
          <cell r="A227">
            <v>45539</v>
          </cell>
          <cell r="B227">
            <v>2024001704</v>
          </cell>
          <cell r="C227" t="str">
            <v>187-2024</v>
          </cell>
          <cell r="D227">
            <v>4750000</v>
          </cell>
          <cell r="E227">
            <v>1087414586</v>
          </cell>
          <cell r="F227" t="str">
            <v>YULY MARCELA MORALES LOPEZ</v>
          </cell>
          <cell r="G227" t="str">
            <v>ID2177823635</v>
          </cell>
        </row>
        <row r="228">
          <cell r="A228">
            <v>45539</v>
          </cell>
          <cell r="B228">
            <v>2024001705</v>
          </cell>
          <cell r="C228" t="str">
            <v>250-2024</v>
          </cell>
          <cell r="D228">
            <v>2000000</v>
          </cell>
          <cell r="E228">
            <v>1085324107</v>
          </cell>
          <cell r="F228" t="str">
            <v>CAROLINA  NASTACUAS PAI</v>
          </cell>
          <cell r="G228" t="str">
            <v>ID2177823635</v>
          </cell>
        </row>
        <row r="229">
          <cell r="A229">
            <v>45539</v>
          </cell>
          <cell r="B229">
            <v>2024001706</v>
          </cell>
          <cell r="C229" t="str">
            <v>501-2024</v>
          </cell>
          <cell r="D229">
            <v>2000000</v>
          </cell>
          <cell r="E229">
            <v>36753698</v>
          </cell>
          <cell r="F229" t="str">
            <v>ANA MILENA JACANMIJOY TREJO</v>
          </cell>
          <cell r="G229" t="str">
            <v>ID2177823635</v>
          </cell>
        </row>
        <row r="230">
          <cell r="A230">
            <v>45539</v>
          </cell>
          <cell r="B230">
            <v>2024001707</v>
          </cell>
          <cell r="C230" t="str">
            <v>199-2024</v>
          </cell>
          <cell r="D230">
            <v>7500000</v>
          </cell>
          <cell r="E230">
            <v>1085304670</v>
          </cell>
          <cell r="F230" t="str">
            <v>PAOLA ANDREA VELEZ BOLAÑOS</v>
          </cell>
          <cell r="G230" t="str">
            <v>ID2177823635</v>
          </cell>
        </row>
        <row r="231">
          <cell r="A231">
            <v>45539</v>
          </cell>
          <cell r="B231">
            <v>2024001708</v>
          </cell>
          <cell r="C231" t="str">
            <v>280-2024</v>
          </cell>
          <cell r="D231">
            <v>2000000</v>
          </cell>
          <cell r="E231">
            <v>1193271854</v>
          </cell>
          <cell r="F231" t="str">
            <v>JUANITA MAYLIN VELASQUEZ REVELO</v>
          </cell>
          <cell r="G231" t="str">
            <v>ID2177823635</v>
          </cell>
        </row>
        <row r="232">
          <cell r="A232">
            <v>45539</v>
          </cell>
          <cell r="B232">
            <v>2024001709</v>
          </cell>
          <cell r="C232" t="str">
            <v>276-2024</v>
          </cell>
          <cell r="D232">
            <v>6000000</v>
          </cell>
          <cell r="E232">
            <v>27097289</v>
          </cell>
          <cell r="F232" t="str">
            <v>BLANCA MELVA GAVIRIA BRAVO</v>
          </cell>
          <cell r="G232" t="str">
            <v>ID2177823635</v>
          </cell>
        </row>
        <row r="233">
          <cell r="A233">
            <v>45539</v>
          </cell>
          <cell r="B233">
            <v>2024001710</v>
          </cell>
          <cell r="C233" t="str">
            <v>218-2024</v>
          </cell>
          <cell r="D233">
            <v>7500000</v>
          </cell>
          <cell r="E233">
            <v>80765093</v>
          </cell>
          <cell r="F233" t="str">
            <v>FRANCISCO  RAFAEL ORTÍZ BENÌTEZ</v>
          </cell>
          <cell r="G233" t="str">
            <v>ID2177823635</v>
          </cell>
        </row>
        <row r="234">
          <cell r="A234">
            <v>45539</v>
          </cell>
          <cell r="B234">
            <v>2024001711</v>
          </cell>
          <cell r="C234" t="str">
            <v>176-2024</v>
          </cell>
          <cell r="D234">
            <v>7500000</v>
          </cell>
          <cell r="E234">
            <v>1085329230</v>
          </cell>
          <cell r="F234" t="str">
            <v>MEHILIN TATIANA QUIMBIAMBA ORTÌZ</v>
          </cell>
          <cell r="G234" t="str">
            <v>ID2177823635</v>
          </cell>
        </row>
        <row r="235">
          <cell r="A235">
            <v>45540</v>
          </cell>
          <cell r="B235">
            <v>2024001716</v>
          </cell>
          <cell r="C235" t="str">
            <v>195-2024</v>
          </cell>
          <cell r="D235">
            <v>6000000</v>
          </cell>
          <cell r="E235">
            <v>1089242085</v>
          </cell>
          <cell r="F235" t="str">
            <v>DANNY YESID DELGADO MORA</v>
          </cell>
          <cell r="G235" t="str">
            <v>ID2177823635</v>
          </cell>
        </row>
        <row r="236">
          <cell r="A236">
            <v>45540</v>
          </cell>
          <cell r="B236">
            <v>2024001718</v>
          </cell>
          <cell r="C236" t="str">
            <v>516-2024</v>
          </cell>
          <cell r="D236">
            <v>6000000</v>
          </cell>
          <cell r="E236">
            <v>1085286476</v>
          </cell>
          <cell r="F236" t="str">
            <v>ELIANA STEPHANIE CAICEDO ALVAREZ</v>
          </cell>
          <cell r="G236" t="str">
            <v>ID2177823635</v>
          </cell>
        </row>
        <row r="237">
          <cell r="A237">
            <v>45540</v>
          </cell>
          <cell r="B237">
            <v>2024001719</v>
          </cell>
          <cell r="C237" t="str">
            <v>279-2024</v>
          </cell>
          <cell r="D237">
            <v>2000000</v>
          </cell>
          <cell r="E237">
            <v>59178610</v>
          </cell>
          <cell r="F237" t="str">
            <v>MONICA PATRICIA PANTOJA DUEÑAS</v>
          </cell>
          <cell r="G237" t="str">
            <v>ID2177823635</v>
          </cell>
        </row>
        <row r="238">
          <cell r="A238">
            <v>45540</v>
          </cell>
          <cell r="B238">
            <v>2024001720</v>
          </cell>
          <cell r="C238" t="str">
            <v>145-2024</v>
          </cell>
          <cell r="D238">
            <v>2000000</v>
          </cell>
          <cell r="E238">
            <v>1030606749</v>
          </cell>
          <cell r="F238" t="str">
            <v>ANGELA EDITH GONZALEZ PIANDA</v>
          </cell>
          <cell r="G238" t="str">
            <v>ID2177823635</v>
          </cell>
        </row>
        <row r="239">
          <cell r="A239">
            <v>45540</v>
          </cell>
          <cell r="B239">
            <v>2024001721</v>
          </cell>
          <cell r="C239" t="str">
            <v>200-2024</v>
          </cell>
          <cell r="D239">
            <v>4825600</v>
          </cell>
          <cell r="E239">
            <v>1085332406</v>
          </cell>
          <cell r="F239" t="str">
            <v>MERCY LORENA SACANAMBUY LOPEZ</v>
          </cell>
          <cell r="G239" t="str">
            <v>ID2177823635</v>
          </cell>
        </row>
        <row r="240">
          <cell r="A240">
            <v>45540</v>
          </cell>
          <cell r="B240">
            <v>2024001728</v>
          </cell>
          <cell r="C240" t="str">
            <v>517-2024</v>
          </cell>
          <cell r="D240">
            <v>6000000</v>
          </cell>
          <cell r="E240">
            <v>1085289928</v>
          </cell>
          <cell r="F240" t="str">
            <v>KELLY  GABRIELA CARDENAS ARCOS</v>
          </cell>
          <cell r="G240" t="str">
            <v>ID2177823635</v>
          </cell>
        </row>
        <row r="241">
          <cell r="A241">
            <v>45540</v>
          </cell>
          <cell r="B241">
            <v>2024001729</v>
          </cell>
          <cell r="C241" t="str">
            <v>402-2024</v>
          </cell>
          <cell r="D241">
            <v>4825600</v>
          </cell>
          <cell r="E241">
            <v>1087643211</v>
          </cell>
          <cell r="F241" t="str">
            <v>NIEVES FERNANDA AZZA ORDOÑEZ</v>
          </cell>
          <cell r="G241" t="str">
            <v>ID2177823635</v>
          </cell>
        </row>
        <row r="242">
          <cell r="A242">
            <v>45540</v>
          </cell>
          <cell r="B242">
            <v>2024001731</v>
          </cell>
          <cell r="C242" t="str">
            <v>275-2024</v>
          </cell>
          <cell r="D242">
            <v>2000000</v>
          </cell>
          <cell r="E242">
            <v>1193265360</v>
          </cell>
          <cell r="F242" t="str">
            <v>ADRIANA SOFIA ISANDARA NUPAN</v>
          </cell>
          <cell r="G242" t="str">
            <v>ID2177823635</v>
          </cell>
        </row>
        <row r="243">
          <cell r="A243">
            <v>45540</v>
          </cell>
          <cell r="B243">
            <v>2024001732</v>
          </cell>
          <cell r="C243" t="str">
            <v>163-2024</v>
          </cell>
          <cell r="D243">
            <v>2000000</v>
          </cell>
          <cell r="E243">
            <v>59834953</v>
          </cell>
          <cell r="F243" t="str">
            <v>PATRICIA YOLANDA PAZ  DELGADO</v>
          </cell>
          <cell r="G243" t="str">
            <v>ID2177823635</v>
          </cell>
        </row>
        <row r="244">
          <cell r="A244">
            <v>45540</v>
          </cell>
          <cell r="B244">
            <v>2024001734</v>
          </cell>
          <cell r="C244" t="str">
            <v>261-2024</v>
          </cell>
          <cell r="D244">
            <v>4825600</v>
          </cell>
          <cell r="E244">
            <v>1085289739</v>
          </cell>
          <cell r="F244" t="str">
            <v>YULY LORENA CABRERA DELGADO</v>
          </cell>
          <cell r="G244" t="str">
            <v>ID2177823635</v>
          </cell>
        </row>
        <row r="245">
          <cell r="A245">
            <v>45540</v>
          </cell>
          <cell r="B245">
            <v>2024001735</v>
          </cell>
          <cell r="C245" t="str">
            <v>406-2024</v>
          </cell>
          <cell r="D245">
            <v>6000000</v>
          </cell>
          <cell r="E245">
            <v>27109314</v>
          </cell>
          <cell r="F245" t="str">
            <v>GABRIELA ALEJANDRA GUERRERO BRAVO</v>
          </cell>
          <cell r="G245" t="str">
            <v>ID2177823635</v>
          </cell>
        </row>
        <row r="246">
          <cell r="A246">
            <v>45540</v>
          </cell>
          <cell r="B246">
            <v>2024001736</v>
          </cell>
          <cell r="C246" t="str">
            <v>204-2024</v>
          </cell>
          <cell r="D246">
            <v>4750000</v>
          </cell>
          <cell r="E246">
            <v>36953206</v>
          </cell>
          <cell r="F246" t="str">
            <v>NATALIA ANDREA LATORRE RUANO</v>
          </cell>
          <cell r="G246" t="str">
            <v>ID2177823635</v>
          </cell>
        </row>
        <row r="247">
          <cell r="A247">
            <v>45540</v>
          </cell>
          <cell r="B247">
            <v>2024001737</v>
          </cell>
          <cell r="C247" t="str">
            <v>223-2024</v>
          </cell>
          <cell r="D247">
            <v>4750000</v>
          </cell>
          <cell r="E247">
            <v>1085273424</v>
          </cell>
          <cell r="F247" t="str">
            <v>SANDRA MILENA GARCÍA  REVELO</v>
          </cell>
          <cell r="G247" t="str">
            <v>ID2177823635</v>
          </cell>
        </row>
        <row r="248">
          <cell r="A248">
            <v>45540</v>
          </cell>
          <cell r="B248">
            <v>2024001738</v>
          </cell>
          <cell r="C248" t="str">
            <v>153-2024</v>
          </cell>
          <cell r="D248">
            <v>7500000</v>
          </cell>
          <cell r="E248">
            <v>1085320661</v>
          </cell>
          <cell r="F248" t="str">
            <v>JHEIBER BRANLLERT DULCE MUÑOZ</v>
          </cell>
          <cell r="G248" t="str">
            <v>ID2177823635</v>
          </cell>
        </row>
        <row r="249">
          <cell r="A249">
            <v>45540</v>
          </cell>
          <cell r="B249">
            <v>2024001739</v>
          </cell>
          <cell r="C249" t="str">
            <v>213-2024</v>
          </cell>
          <cell r="D249">
            <v>6000000</v>
          </cell>
          <cell r="E249">
            <v>59837608</v>
          </cell>
          <cell r="F249" t="str">
            <v>ALBA DENIS ARGOTY SANTACRUZ</v>
          </cell>
          <cell r="G249" t="str">
            <v>ID2177823635</v>
          </cell>
        </row>
        <row r="250">
          <cell r="A250">
            <v>45541</v>
          </cell>
          <cell r="B250">
            <v>2024001749</v>
          </cell>
          <cell r="C250" t="str">
            <v>189-2024</v>
          </cell>
          <cell r="D250">
            <v>2000000</v>
          </cell>
          <cell r="E250">
            <v>59837416</v>
          </cell>
          <cell r="F250" t="str">
            <v>RUTH INGRITH DIAZ VALERO</v>
          </cell>
          <cell r="G250" t="str">
            <v>ID2177823635</v>
          </cell>
        </row>
        <row r="251">
          <cell r="A251">
            <v>45541</v>
          </cell>
          <cell r="B251">
            <v>2024001750</v>
          </cell>
          <cell r="C251" t="str">
            <v>221-2024</v>
          </cell>
          <cell r="D251">
            <v>2000000</v>
          </cell>
          <cell r="E251">
            <v>1085296353</v>
          </cell>
          <cell r="F251" t="str">
            <v>VERONICA ROXANA MORAN VILLOTA</v>
          </cell>
          <cell r="G251" t="str">
            <v>ID2177823635</v>
          </cell>
        </row>
        <row r="252">
          <cell r="A252">
            <v>45541</v>
          </cell>
          <cell r="B252">
            <v>2024001751</v>
          </cell>
          <cell r="C252" t="str">
            <v>180-2024</v>
          </cell>
          <cell r="D252">
            <v>4750000</v>
          </cell>
          <cell r="E252">
            <v>59312865</v>
          </cell>
          <cell r="F252" t="str">
            <v>DIANA CAROLINA CORTES TAPIA</v>
          </cell>
          <cell r="G252" t="str">
            <v>ID2177823635</v>
          </cell>
        </row>
        <row r="253">
          <cell r="A253">
            <v>45541</v>
          </cell>
          <cell r="B253">
            <v>2024001753</v>
          </cell>
          <cell r="C253" t="str">
            <v>186-2024</v>
          </cell>
          <cell r="D253">
            <v>4825600</v>
          </cell>
          <cell r="E253">
            <v>87062845</v>
          </cell>
          <cell r="F253" t="str">
            <v>EDMER LEONARDO RUALES AYALA</v>
          </cell>
          <cell r="G253" t="str">
            <v>ID2177823635</v>
          </cell>
        </row>
        <row r="254">
          <cell r="A254">
            <v>45541</v>
          </cell>
          <cell r="B254">
            <v>2024001754</v>
          </cell>
          <cell r="C254" t="str">
            <v>150-2024</v>
          </cell>
          <cell r="D254">
            <v>2000000</v>
          </cell>
          <cell r="E254">
            <v>1004635031</v>
          </cell>
          <cell r="F254" t="str">
            <v>ASTRID CAROLINA CAICEDO LUNA</v>
          </cell>
          <cell r="G254" t="str">
            <v>ID2177823635</v>
          </cell>
        </row>
        <row r="255">
          <cell r="A255">
            <v>45541</v>
          </cell>
          <cell r="B255">
            <v>2024001755</v>
          </cell>
          <cell r="C255" t="str">
            <v>387-2024</v>
          </cell>
          <cell r="D255">
            <v>6000000</v>
          </cell>
          <cell r="E255">
            <v>59836926</v>
          </cell>
          <cell r="F255" t="str">
            <v>DEYANIRA  BADOS DAZA</v>
          </cell>
          <cell r="G255" t="str">
            <v>ID2177823635</v>
          </cell>
        </row>
        <row r="256">
          <cell r="A256">
            <v>45541</v>
          </cell>
          <cell r="B256">
            <v>2024001756</v>
          </cell>
          <cell r="C256" t="str">
            <v>205-2024</v>
          </cell>
          <cell r="D256">
            <v>4825600</v>
          </cell>
          <cell r="E256">
            <v>27087851</v>
          </cell>
          <cell r="F256" t="str">
            <v>ADRIANA YORLADY ARMERO BURBANO</v>
          </cell>
          <cell r="G256" t="str">
            <v>ID2177823635</v>
          </cell>
        </row>
        <row r="257">
          <cell r="A257">
            <v>45541</v>
          </cell>
          <cell r="B257">
            <v>2024001757</v>
          </cell>
          <cell r="C257" t="str">
            <v>162-2024</v>
          </cell>
          <cell r="D257">
            <v>2000000</v>
          </cell>
          <cell r="E257">
            <v>1085327701</v>
          </cell>
          <cell r="F257" t="str">
            <v>MARIA JOSE LEITON ZUTTA</v>
          </cell>
          <cell r="G257" t="str">
            <v>ID2177823635</v>
          </cell>
        </row>
        <row r="258">
          <cell r="A258">
            <v>45541</v>
          </cell>
          <cell r="B258">
            <v>2024001758</v>
          </cell>
          <cell r="C258" t="str">
            <v>415-2024</v>
          </cell>
          <cell r="D258">
            <v>7500000</v>
          </cell>
          <cell r="E258">
            <v>1151934571</v>
          </cell>
          <cell r="F258" t="str">
            <v>ANGELA MARCELA OBANDO BASTIDAS</v>
          </cell>
          <cell r="G258" t="str">
            <v>ID2177823635</v>
          </cell>
        </row>
        <row r="259">
          <cell r="A259">
            <v>45541</v>
          </cell>
          <cell r="B259">
            <v>2024001760</v>
          </cell>
          <cell r="C259" t="str">
            <v>508-2024</v>
          </cell>
          <cell r="D259">
            <v>2000000</v>
          </cell>
          <cell r="E259">
            <v>98392455</v>
          </cell>
          <cell r="F259" t="str">
            <v>MAURICIO JAVIER QUIÑONES TAQUEZ</v>
          </cell>
          <cell r="G259" t="str">
            <v>ID2177823635</v>
          </cell>
        </row>
        <row r="260">
          <cell r="A260">
            <v>45545</v>
          </cell>
          <cell r="B260">
            <v>2024001781</v>
          </cell>
          <cell r="C260" t="str">
            <v>322-2024</v>
          </cell>
          <cell r="D260">
            <v>2000000</v>
          </cell>
          <cell r="E260">
            <v>1086362994</v>
          </cell>
          <cell r="F260" t="str">
            <v>SARA  VICTORIA ALVAREZ FIGUEROA</v>
          </cell>
          <cell r="G260" t="str">
            <v>ID2177823635</v>
          </cell>
        </row>
        <row r="261">
          <cell r="A261">
            <v>45545</v>
          </cell>
          <cell r="B261">
            <v>2024001782</v>
          </cell>
          <cell r="C261" t="str">
            <v>271-2024</v>
          </cell>
          <cell r="D261">
            <v>2000000</v>
          </cell>
          <cell r="E261">
            <v>59813323</v>
          </cell>
          <cell r="F261" t="str">
            <v>GARCIA JOJOA EDITH CRISTINA</v>
          </cell>
          <cell r="G261" t="str">
            <v>ID2177823635</v>
          </cell>
        </row>
        <row r="262">
          <cell r="A262">
            <v>45545</v>
          </cell>
          <cell r="B262">
            <v>2024001783</v>
          </cell>
          <cell r="C262" t="str">
            <v>159-2024</v>
          </cell>
          <cell r="D262">
            <v>2000000</v>
          </cell>
          <cell r="E262">
            <v>1085317833</v>
          </cell>
          <cell r="F262" t="str">
            <v>ANGIE VIVIANA SACANAMBUY PAZ</v>
          </cell>
          <cell r="G262" t="str">
            <v>ID2177823635</v>
          </cell>
        </row>
        <row r="263">
          <cell r="A263">
            <v>45545</v>
          </cell>
          <cell r="B263">
            <v>2024001784</v>
          </cell>
          <cell r="C263" t="str">
            <v>228-2024</v>
          </cell>
          <cell r="D263">
            <v>6000000</v>
          </cell>
          <cell r="E263">
            <v>1085275879</v>
          </cell>
          <cell r="F263" t="str">
            <v>DANIELA FERNANDA ERASO VALENCIA</v>
          </cell>
          <cell r="G263" t="str">
            <v>ID2177823635</v>
          </cell>
        </row>
        <row r="264">
          <cell r="A264">
            <v>45545</v>
          </cell>
          <cell r="B264">
            <v>2024001785</v>
          </cell>
          <cell r="C264" t="str">
            <v>319-2024</v>
          </cell>
          <cell r="D264">
            <v>7500000</v>
          </cell>
          <cell r="E264">
            <v>1006946167</v>
          </cell>
          <cell r="F264" t="str">
            <v>LIZETH MARCELA ORTÌZ MUÑOZ</v>
          </cell>
          <cell r="G264" t="str">
            <v>ID2177823635</v>
          </cell>
        </row>
        <row r="265">
          <cell r="A265">
            <v>45545</v>
          </cell>
          <cell r="B265">
            <v>2024001786</v>
          </cell>
          <cell r="C265" t="str">
            <v>286-2024</v>
          </cell>
          <cell r="D265">
            <v>4750000</v>
          </cell>
          <cell r="E265">
            <v>1193383306</v>
          </cell>
          <cell r="F265" t="str">
            <v>MARIA  DE LOS ANGELES ACOSTA ROSERO</v>
          </cell>
          <cell r="G265" t="str">
            <v>ID2177823635</v>
          </cell>
        </row>
        <row r="266">
          <cell r="A266">
            <v>45545</v>
          </cell>
          <cell r="B266">
            <v>2024001787</v>
          </cell>
          <cell r="C266" t="str">
            <v>151-2024</v>
          </cell>
          <cell r="D266">
            <v>2000000</v>
          </cell>
          <cell r="E266">
            <v>1004234290</v>
          </cell>
          <cell r="F266" t="str">
            <v>LAURA  SOFIA ROSERO DAVID</v>
          </cell>
          <cell r="G266" t="str">
            <v>ID2177823635</v>
          </cell>
        </row>
        <row r="267">
          <cell r="A267">
            <v>45546</v>
          </cell>
          <cell r="B267">
            <v>2024001792</v>
          </cell>
          <cell r="C267" t="str">
            <v>164-2024</v>
          </cell>
          <cell r="D267">
            <v>4825600</v>
          </cell>
          <cell r="E267">
            <v>1085291221</v>
          </cell>
          <cell r="F267" t="str">
            <v>ELIZABETH ALEJANDRA TOBAR MORAN</v>
          </cell>
          <cell r="G267" t="str">
            <v>ID2177823635</v>
          </cell>
        </row>
        <row r="268">
          <cell r="A268">
            <v>45546</v>
          </cell>
          <cell r="B268">
            <v>2024001793</v>
          </cell>
          <cell r="C268" t="str">
            <v>242-2024</v>
          </cell>
          <cell r="D268">
            <v>2000000</v>
          </cell>
          <cell r="E268">
            <v>1010085543</v>
          </cell>
          <cell r="F268" t="str">
            <v>DANIELA VANESA MONTANCHEZ GOMAJOA</v>
          </cell>
          <cell r="G268" t="str">
            <v>ID2177823635</v>
          </cell>
        </row>
        <row r="269">
          <cell r="A269">
            <v>45546</v>
          </cell>
          <cell r="B269">
            <v>2024001794</v>
          </cell>
          <cell r="C269" t="str">
            <v>507-2024</v>
          </cell>
          <cell r="D269">
            <v>7500000</v>
          </cell>
          <cell r="E269">
            <v>1085296958</v>
          </cell>
          <cell r="F269" t="str">
            <v>MARIO ALEXANDER MENA RODRIGUEZ</v>
          </cell>
          <cell r="G269" t="str">
            <v>ID2177823635</v>
          </cell>
        </row>
        <row r="270">
          <cell r="A270">
            <v>45546</v>
          </cell>
          <cell r="B270">
            <v>2024001796</v>
          </cell>
          <cell r="C270" t="str">
            <v>242-2024</v>
          </cell>
          <cell r="D270">
            <v>2000000</v>
          </cell>
          <cell r="E270">
            <v>1010085543</v>
          </cell>
          <cell r="F270" t="str">
            <v>DANIELA VANESA MONTANCHEZ GOMAJOA</v>
          </cell>
          <cell r="G270" t="str">
            <v>ID2177823635</v>
          </cell>
        </row>
        <row r="271">
          <cell r="A271">
            <v>45546</v>
          </cell>
          <cell r="B271">
            <v>2024001797</v>
          </cell>
          <cell r="C271" t="str">
            <v>174-2024</v>
          </cell>
          <cell r="D271">
            <v>2000000</v>
          </cell>
          <cell r="E271">
            <v>1004410201</v>
          </cell>
          <cell r="F271" t="str">
            <v>JAIRO  ALBERTO MAIGUAL MIRAMAG</v>
          </cell>
          <cell r="G271" t="str">
            <v>ID2177823635</v>
          </cell>
        </row>
        <row r="272">
          <cell r="A272">
            <v>45546</v>
          </cell>
          <cell r="B272">
            <v>2024001798</v>
          </cell>
          <cell r="C272" t="str">
            <v>154-2024</v>
          </cell>
          <cell r="D272">
            <v>4750000</v>
          </cell>
          <cell r="E272">
            <v>59821282</v>
          </cell>
          <cell r="F272" t="str">
            <v>XIMENA DEL ROSARIO LOPEZ MAYA</v>
          </cell>
          <cell r="G272" t="str">
            <v>ID2177823635</v>
          </cell>
        </row>
        <row r="273">
          <cell r="A273">
            <v>45546</v>
          </cell>
          <cell r="B273">
            <v>2024001799</v>
          </cell>
          <cell r="C273" t="str">
            <v>171-2024</v>
          </cell>
          <cell r="D273">
            <v>2000000</v>
          </cell>
          <cell r="E273">
            <v>1085288636</v>
          </cell>
          <cell r="F273" t="str">
            <v>DIANA SOFIA AYALA DIAZ</v>
          </cell>
          <cell r="G273" t="str">
            <v>ID2177823635</v>
          </cell>
        </row>
        <row r="274">
          <cell r="A274">
            <v>45546</v>
          </cell>
          <cell r="B274">
            <v>2024001800</v>
          </cell>
          <cell r="C274" t="str">
            <v>413-2024</v>
          </cell>
          <cell r="D274">
            <v>2000000</v>
          </cell>
          <cell r="E274">
            <v>59310524</v>
          </cell>
          <cell r="F274" t="str">
            <v>MAIGUAL MUÑOZ MARIBEL DEL CARMEN</v>
          </cell>
          <cell r="G274" t="str">
            <v>ID2177823635</v>
          </cell>
        </row>
        <row r="275">
          <cell r="A275">
            <v>45546</v>
          </cell>
          <cell r="B275">
            <v>2024001801</v>
          </cell>
          <cell r="C275" t="str">
            <v>147-2024</v>
          </cell>
          <cell r="D275">
            <v>7500000</v>
          </cell>
          <cell r="E275">
            <v>12961661</v>
          </cell>
          <cell r="F275" t="str">
            <v>VICTOR HUGO QUENGUAN BURBANO</v>
          </cell>
          <cell r="G275" t="str">
            <v>ID2177823635</v>
          </cell>
        </row>
        <row r="276">
          <cell r="A276">
            <v>45546</v>
          </cell>
          <cell r="B276">
            <v>2024001802</v>
          </cell>
          <cell r="C276" t="str">
            <v>265-2024</v>
          </cell>
          <cell r="D276">
            <v>119827050</v>
          </cell>
          <cell r="E276">
            <v>900633448</v>
          </cell>
          <cell r="F276" t="str">
            <v>EXPRESO SURAMERICANA DE TURISMO SAS</v>
          </cell>
          <cell r="G276" t="str">
            <v>ID2177823635</v>
          </cell>
        </row>
        <row r="277">
          <cell r="A277">
            <v>45546</v>
          </cell>
          <cell r="B277">
            <v>2024001803</v>
          </cell>
          <cell r="C277" t="str">
            <v>519-2024</v>
          </cell>
          <cell r="D277">
            <v>2000000</v>
          </cell>
          <cell r="E277">
            <v>59311233</v>
          </cell>
          <cell r="F277" t="str">
            <v>YULI XIMENA TAPIA ORDO+æEZ</v>
          </cell>
          <cell r="G277" t="str">
            <v>ID2177823635</v>
          </cell>
        </row>
        <row r="278">
          <cell r="A278">
            <v>45546</v>
          </cell>
          <cell r="B278">
            <v>2024001804</v>
          </cell>
          <cell r="C278" t="str">
            <v>185-2024</v>
          </cell>
          <cell r="D278">
            <v>2000000</v>
          </cell>
          <cell r="E278">
            <v>1193224810</v>
          </cell>
          <cell r="F278" t="str">
            <v>EVELYN  FERNANDA ACOSTA CHICAIZA</v>
          </cell>
          <cell r="G278" t="str">
            <v>ID2177823635</v>
          </cell>
        </row>
        <row r="279">
          <cell r="A279">
            <v>45546</v>
          </cell>
          <cell r="B279">
            <v>2024001805</v>
          </cell>
          <cell r="C279" t="str">
            <v>251-2024</v>
          </cell>
          <cell r="D279">
            <v>2000000</v>
          </cell>
          <cell r="E279">
            <v>1193218691</v>
          </cell>
          <cell r="F279" t="str">
            <v>BRENDA DAYANA TABLA PULISTAR</v>
          </cell>
          <cell r="G279" t="str">
            <v>ID2177823635</v>
          </cell>
        </row>
        <row r="280">
          <cell r="A280">
            <v>45546</v>
          </cell>
          <cell r="B280">
            <v>2024001806</v>
          </cell>
          <cell r="C280" t="str">
            <v>287-2024</v>
          </cell>
          <cell r="D280">
            <v>4750000</v>
          </cell>
          <cell r="E280">
            <v>87060703</v>
          </cell>
          <cell r="F280" t="str">
            <v>JESUS ARMANDO MARTÍNEZ GÓMEZ</v>
          </cell>
          <cell r="G280" t="str">
            <v>ID2177823635</v>
          </cell>
        </row>
        <row r="281">
          <cell r="A281">
            <v>45546</v>
          </cell>
          <cell r="B281">
            <v>2024001807</v>
          </cell>
          <cell r="C281" t="str">
            <v>184-2024</v>
          </cell>
          <cell r="D281">
            <v>4750000</v>
          </cell>
          <cell r="E281">
            <v>59824313</v>
          </cell>
          <cell r="F281" t="str">
            <v>FANY LUCELY RODRIGUEZ CRIOLLO</v>
          </cell>
          <cell r="G281" t="str">
            <v>ID2177823635</v>
          </cell>
        </row>
        <row r="282">
          <cell r="A282">
            <v>45547</v>
          </cell>
          <cell r="B282">
            <v>2024001813</v>
          </cell>
          <cell r="C282" t="str">
            <v>188-2024</v>
          </cell>
          <cell r="D282">
            <v>4000000</v>
          </cell>
          <cell r="E282">
            <v>36757213</v>
          </cell>
          <cell r="F282" t="str">
            <v>MONICA DEL ROCIO ERAZO RUIZ</v>
          </cell>
          <cell r="G282" t="str">
            <v>ID2177823635</v>
          </cell>
        </row>
        <row r="283">
          <cell r="A283">
            <v>45547</v>
          </cell>
          <cell r="B283">
            <v>2024001815</v>
          </cell>
          <cell r="C283" t="str">
            <v>453-2024</v>
          </cell>
          <cell r="D283">
            <v>2000000</v>
          </cell>
          <cell r="E283">
            <v>13072447</v>
          </cell>
          <cell r="F283" t="str">
            <v>DANNY ALEXANDER ORTIZ MUÑOZ</v>
          </cell>
          <cell r="G283" t="str">
            <v>ID2177823635</v>
          </cell>
        </row>
        <row r="284">
          <cell r="A284">
            <v>45547</v>
          </cell>
          <cell r="B284">
            <v>2024001816</v>
          </cell>
          <cell r="C284" t="str">
            <v>193-2024</v>
          </cell>
          <cell r="D284">
            <v>4825600</v>
          </cell>
          <cell r="E284">
            <v>30733517</v>
          </cell>
          <cell r="F284" t="str">
            <v>CARMEN  LILIANA ARCINIEGAS LÒPEZ</v>
          </cell>
          <cell r="G284" t="str">
            <v>ID2177823635</v>
          </cell>
        </row>
        <row r="285">
          <cell r="A285">
            <v>45547</v>
          </cell>
          <cell r="B285">
            <v>2024001817</v>
          </cell>
          <cell r="C285" t="str">
            <v>198-2024</v>
          </cell>
          <cell r="D285">
            <v>7500000</v>
          </cell>
          <cell r="E285">
            <v>1089244511</v>
          </cell>
          <cell r="F285" t="str">
            <v>DIDIER RAIMUNDO MENESES GUERRERO</v>
          </cell>
          <cell r="G285" t="str">
            <v>ID2177823635</v>
          </cell>
        </row>
        <row r="286">
          <cell r="A286">
            <v>45547</v>
          </cell>
          <cell r="B286">
            <v>2024001818</v>
          </cell>
          <cell r="C286" t="str">
            <v>509-2024</v>
          </cell>
          <cell r="D286">
            <v>2000000</v>
          </cell>
          <cell r="E286">
            <v>1004215136</v>
          </cell>
          <cell r="F286" t="str">
            <v xml:space="preserve">JESICA GERALDINE MORALES </v>
          </cell>
          <cell r="G286" t="str">
            <v>ID2177823635</v>
          </cell>
        </row>
        <row r="287">
          <cell r="A287">
            <v>45547</v>
          </cell>
          <cell r="B287">
            <v>2024001819</v>
          </cell>
          <cell r="C287" t="str">
            <v>157-2024</v>
          </cell>
          <cell r="D287">
            <v>7500000</v>
          </cell>
          <cell r="E287">
            <v>1233189066</v>
          </cell>
          <cell r="F287" t="str">
            <v>GERALDINE  VIVIANA VILLOTA ARTEAGA</v>
          </cell>
          <cell r="G287" t="str">
            <v>ID2177823635</v>
          </cell>
        </row>
        <row r="288">
          <cell r="A288">
            <v>45547</v>
          </cell>
          <cell r="B288">
            <v>2024001820</v>
          </cell>
          <cell r="C288" t="str">
            <v>471-2024</v>
          </cell>
          <cell r="D288">
            <v>2000000</v>
          </cell>
          <cell r="E288">
            <v>1081595853</v>
          </cell>
          <cell r="F288" t="str">
            <v>LICETH NEYIRETH RIVERA ROSERO</v>
          </cell>
          <cell r="G288" t="str">
            <v>ID2177823635</v>
          </cell>
        </row>
        <row r="289">
          <cell r="A289">
            <v>45547</v>
          </cell>
          <cell r="B289">
            <v>2024001821</v>
          </cell>
          <cell r="C289" t="str">
            <v>149-2024</v>
          </cell>
          <cell r="D289">
            <v>2000000</v>
          </cell>
          <cell r="E289">
            <v>1085300095</v>
          </cell>
          <cell r="F289" t="str">
            <v>AIDE CAROLINA RIASCOS ECHEVERRY</v>
          </cell>
          <cell r="G289" t="str">
            <v>ID2177823635</v>
          </cell>
        </row>
        <row r="290">
          <cell r="A290">
            <v>45547</v>
          </cell>
          <cell r="B290">
            <v>2024001822</v>
          </cell>
          <cell r="C290" t="str">
            <v>178-2024</v>
          </cell>
          <cell r="D290">
            <v>2000000</v>
          </cell>
          <cell r="E290">
            <v>1007356378</v>
          </cell>
          <cell r="F290" t="str">
            <v>NAYIBI JANED MELO DELGADO</v>
          </cell>
          <cell r="G290" t="str">
            <v>ID2177823635</v>
          </cell>
        </row>
        <row r="291">
          <cell r="A291">
            <v>45548</v>
          </cell>
          <cell r="B291">
            <v>2024001823</v>
          </cell>
          <cell r="C291" t="str">
            <v>474-2024</v>
          </cell>
          <cell r="D291">
            <v>2000000</v>
          </cell>
          <cell r="E291">
            <v>1085327836</v>
          </cell>
          <cell r="F291" t="str">
            <v>ANGELA ESTEFANYA NASPIRAN  JOJOA</v>
          </cell>
          <cell r="G291" t="str">
            <v>ID2177823635</v>
          </cell>
        </row>
        <row r="292">
          <cell r="A292">
            <v>45548</v>
          </cell>
          <cell r="B292">
            <v>2024001824</v>
          </cell>
          <cell r="C292" t="str">
            <v>476-2024</v>
          </cell>
          <cell r="D292">
            <v>2000000</v>
          </cell>
          <cell r="E292">
            <v>1233189896</v>
          </cell>
          <cell r="F292" t="str">
            <v>NICOLAS EMILIO MENA  JOJOA</v>
          </cell>
          <cell r="G292" t="str">
            <v>ID2177823635</v>
          </cell>
        </row>
        <row r="293">
          <cell r="A293">
            <v>45548</v>
          </cell>
          <cell r="B293">
            <v>2024001825</v>
          </cell>
          <cell r="C293" t="str">
            <v>365-2024</v>
          </cell>
          <cell r="D293">
            <v>2000000</v>
          </cell>
          <cell r="E293">
            <v>1192717330</v>
          </cell>
          <cell r="F293" t="str">
            <v>CRISTIAN FABIAN CRIOLLO RIVERA</v>
          </cell>
          <cell r="G293" t="str">
            <v>ID2177823635</v>
          </cell>
        </row>
        <row r="294">
          <cell r="A294">
            <v>45548</v>
          </cell>
          <cell r="B294">
            <v>2024001826</v>
          </cell>
          <cell r="C294" t="str">
            <v>368-2024</v>
          </cell>
          <cell r="D294">
            <v>2000000</v>
          </cell>
          <cell r="E294">
            <v>27211504</v>
          </cell>
          <cell r="F294" t="str">
            <v>YUDY LILIANA BENAVIDES OJEDA</v>
          </cell>
          <cell r="G294" t="str">
            <v>ID2177823635</v>
          </cell>
        </row>
        <row r="295">
          <cell r="A295">
            <v>45548</v>
          </cell>
          <cell r="B295">
            <v>2024001827</v>
          </cell>
          <cell r="C295" t="str">
            <v>244-2024</v>
          </cell>
          <cell r="D295">
            <v>2000000</v>
          </cell>
          <cell r="E295">
            <v>69028150</v>
          </cell>
          <cell r="F295" t="str">
            <v>LYNN JANINA ORTIZ PAZ</v>
          </cell>
          <cell r="G295" t="str">
            <v>ID2177823635</v>
          </cell>
        </row>
        <row r="296">
          <cell r="A296">
            <v>45548</v>
          </cell>
          <cell r="B296">
            <v>2024001828</v>
          </cell>
          <cell r="C296" t="str">
            <v>246-2024</v>
          </cell>
          <cell r="D296">
            <v>2000000</v>
          </cell>
          <cell r="E296">
            <v>1010082397</v>
          </cell>
          <cell r="F296" t="str">
            <v>JAQUELINE CAMILA GENOY VILLOTA</v>
          </cell>
          <cell r="G296" t="str">
            <v>ID2177823635</v>
          </cell>
        </row>
        <row r="297">
          <cell r="A297">
            <v>45548</v>
          </cell>
          <cell r="B297">
            <v>2024001829</v>
          </cell>
          <cell r="C297" t="str">
            <v>247-2024</v>
          </cell>
          <cell r="D297">
            <v>2000000</v>
          </cell>
          <cell r="E297">
            <v>1080040858</v>
          </cell>
          <cell r="F297" t="str">
            <v>YEIMY ANABELY MONCAYO ARTEAGA</v>
          </cell>
          <cell r="G297" t="str">
            <v>ID2177823635</v>
          </cell>
        </row>
        <row r="298">
          <cell r="A298">
            <v>45551</v>
          </cell>
          <cell r="B298">
            <v>2024001830</v>
          </cell>
          <cell r="C298" t="str">
            <v>219-2024</v>
          </cell>
          <cell r="D298">
            <v>2000000</v>
          </cell>
          <cell r="E298">
            <v>1085266584</v>
          </cell>
          <cell r="F298" t="str">
            <v>MARIA ALEJANDRA BENAVIDES AYALA</v>
          </cell>
          <cell r="G298" t="str">
            <v>ID2177823635</v>
          </cell>
        </row>
        <row r="299">
          <cell r="A299">
            <v>45551</v>
          </cell>
          <cell r="B299">
            <v>2024001831</v>
          </cell>
          <cell r="C299" t="str">
            <v>212-2024</v>
          </cell>
          <cell r="D299">
            <v>2000000</v>
          </cell>
          <cell r="E299">
            <v>1085286742</v>
          </cell>
          <cell r="F299" t="str">
            <v>VANESSA KATHERINE JOJOA ARIAS</v>
          </cell>
          <cell r="G299" t="str">
            <v>ID2177823635</v>
          </cell>
        </row>
        <row r="300">
          <cell r="A300">
            <v>45551</v>
          </cell>
          <cell r="B300">
            <v>2024001832</v>
          </cell>
          <cell r="C300" t="str">
            <v>197-2024</v>
          </cell>
          <cell r="D300">
            <v>4825600</v>
          </cell>
          <cell r="E300">
            <v>1085337969</v>
          </cell>
          <cell r="F300" t="str">
            <v>SANTIAGO NICOLAS TULCAN REGALADO</v>
          </cell>
          <cell r="G300" t="str">
            <v>ID2177823635</v>
          </cell>
        </row>
        <row r="301">
          <cell r="A301">
            <v>45551</v>
          </cell>
          <cell r="B301">
            <v>2024001833</v>
          </cell>
          <cell r="C301" t="str">
            <v>160-2024</v>
          </cell>
          <cell r="D301">
            <v>2000000</v>
          </cell>
          <cell r="E301">
            <v>13070330</v>
          </cell>
          <cell r="F301" t="str">
            <v>ELBER ALFREDO CAMPAÑA IMBAQUIN</v>
          </cell>
          <cell r="G301" t="str">
            <v>ID2177823635</v>
          </cell>
        </row>
        <row r="302">
          <cell r="A302">
            <v>45551</v>
          </cell>
          <cell r="B302">
            <v>2024001834</v>
          </cell>
          <cell r="C302" t="str">
            <v>202-2024</v>
          </cell>
          <cell r="D302">
            <v>6000000</v>
          </cell>
          <cell r="E302">
            <v>59820414</v>
          </cell>
          <cell r="F302" t="str">
            <v>CORDOBA ARTEAGA CARMEN PATRICIA</v>
          </cell>
          <cell r="G302" t="str">
            <v>ID2177823635</v>
          </cell>
        </row>
        <row r="303">
          <cell r="A303">
            <v>45551</v>
          </cell>
          <cell r="B303">
            <v>2024001835</v>
          </cell>
          <cell r="C303" t="str">
            <v>173-2024</v>
          </cell>
          <cell r="D303">
            <v>2000000</v>
          </cell>
          <cell r="E303">
            <v>98382500</v>
          </cell>
          <cell r="F303" t="str">
            <v>JOSE JAVIER PINTA YAQUENO</v>
          </cell>
          <cell r="G303" t="str">
            <v>ID2177823635</v>
          </cell>
        </row>
        <row r="304">
          <cell r="A304">
            <v>45551</v>
          </cell>
          <cell r="B304">
            <v>2024001836</v>
          </cell>
          <cell r="C304" t="str">
            <v>229-2024</v>
          </cell>
          <cell r="D304">
            <v>2000000</v>
          </cell>
          <cell r="E304">
            <v>59828916</v>
          </cell>
          <cell r="F304" t="str">
            <v xml:space="preserve">ROCIO DEL PILAR RIVERA </v>
          </cell>
          <cell r="G304" t="str">
            <v>ID2177823635</v>
          </cell>
        </row>
        <row r="305">
          <cell r="A305">
            <v>45551</v>
          </cell>
          <cell r="B305">
            <v>2024001837</v>
          </cell>
          <cell r="C305" t="str">
            <v>362-2024</v>
          </cell>
          <cell r="D305">
            <v>2000000</v>
          </cell>
          <cell r="E305">
            <v>1085271641</v>
          </cell>
          <cell r="F305" t="str">
            <v>LISSETH MARISOL CUASTUMAL  CASTRO</v>
          </cell>
          <cell r="G305" t="str">
            <v>ID2177823635</v>
          </cell>
        </row>
        <row r="306">
          <cell r="A306">
            <v>45551</v>
          </cell>
          <cell r="B306">
            <v>2024001838</v>
          </cell>
          <cell r="C306" t="str">
            <v>179-2024</v>
          </cell>
          <cell r="D306">
            <v>4750000</v>
          </cell>
          <cell r="E306">
            <v>59816986</v>
          </cell>
          <cell r="F306" t="str">
            <v>INÉS MERCEDES LÓPEZ TORRES</v>
          </cell>
          <cell r="G306" t="str">
            <v>ID2177823635</v>
          </cell>
        </row>
        <row r="307">
          <cell r="A307">
            <v>45551</v>
          </cell>
          <cell r="B307">
            <v>2024001839</v>
          </cell>
          <cell r="C307" t="str">
            <v>215-2024</v>
          </cell>
          <cell r="D307">
            <v>4750000</v>
          </cell>
          <cell r="E307">
            <v>1085303067</v>
          </cell>
          <cell r="F307" t="str">
            <v>CINDY ESTEFANIA GONZALES DEL CASTILLO</v>
          </cell>
          <cell r="G307" t="str">
            <v>ID2177823635</v>
          </cell>
        </row>
        <row r="308">
          <cell r="A308">
            <v>45551</v>
          </cell>
          <cell r="B308">
            <v>2024001840</v>
          </cell>
          <cell r="C308" t="str">
            <v>192-2024</v>
          </cell>
          <cell r="D308">
            <v>2000000</v>
          </cell>
          <cell r="E308">
            <v>1085250095</v>
          </cell>
          <cell r="F308" t="str">
            <v>LIDIA JIMENA RODRIGUEZ LOZA</v>
          </cell>
          <cell r="G308" t="str">
            <v>ID2177823635</v>
          </cell>
        </row>
        <row r="309">
          <cell r="A309">
            <v>45551</v>
          </cell>
          <cell r="B309">
            <v>2024001841</v>
          </cell>
          <cell r="C309" t="str">
            <v>146-2024</v>
          </cell>
          <cell r="D309">
            <v>2000000</v>
          </cell>
          <cell r="E309">
            <v>1085302942</v>
          </cell>
          <cell r="F309" t="str">
            <v>MARIA CAMILA PAREDEZ TIMANA</v>
          </cell>
          <cell r="G309" t="str">
            <v>ID2177823635</v>
          </cell>
        </row>
        <row r="310">
          <cell r="A310">
            <v>45552</v>
          </cell>
          <cell r="B310">
            <v>2024001844</v>
          </cell>
          <cell r="C310" t="str">
            <v>206-2024</v>
          </cell>
          <cell r="D310">
            <v>7500000</v>
          </cell>
          <cell r="E310">
            <v>1193202097</v>
          </cell>
          <cell r="F310" t="str">
            <v>VERONICA SOFIA HUERTAS ARCINIEGAS</v>
          </cell>
          <cell r="G310" t="str">
            <v>ID2177823635</v>
          </cell>
        </row>
        <row r="311">
          <cell r="A311">
            <v>45552</v>
          </cell>
          <cell r="B311">
            <v>2024001845</v>
          </cell>
          <cell r="C311" t="str">
            <v>238-2024</v>
          </cell>
          <cell r="D311">
            <v>2000000</v>
          </cell>
          <cell r="E311">
            <v>1004709928</v>
          </cell>
          <cell r="F311" t="str">
            <v>DEISY ANDREA MARTÍNEZ NARVAEZ</v>
          </cell>
          <cell r="G311" t="str">
            <v>ID2177823635</v>
          </cell>
        </row>
        <row r="312">
          <cell r="A312">
            <v>45552</v>
          </cell>
          <cell r="B312">
            <v>2024001846</v>
          </cell>
          <cell r="C312" t="str">
            <v>454-2024</v>
          </cell>
          <cell r="D312">
            <v>2000000</v>
          </cell>
          <cell r="E312">
            <v>1085289798</v>
          </cell>
          <cell r="F312" t="str">
            <v>DIEGO FERNANDO DELGADO ERASO</v>
          </cell>
          <cell r="G312" t="str">
            <v>ID2177823635</v>
          </cell>
        </row>
        <row r="313">
          <cell r="A313">
            <v>45552</v>
          </cell>
          <cell r="B313">
            <v>2024001847</v>
          </cell>
          <cell r="C313" t="str">
            <v>239-2024</v>
          </cell>
          <cell r="D313">
            <v>2000000</v>
          </cell>
          <cell r="E313">
            <v>1004135064</v>
          </cell>
          <cell r="F313" t="str">
            <v>JESSICA FERNANDA LAGOS DAVID</v>
          </cell>
          <cell r="G313" t="str">
            <v>ID2177823635</v>
          </cell>
        </row>
        <row r="314">
          <cell r="A314">
            <v>45552</v>
          </cell>
          <cell r="B314">
            <v>2024001852</v>
          </cell>
          <cell r="C314" t="str">
            <v>378-2024</v>
          </cell>
          <cell r="D314">
            <v>6000000</v>
          </cell>
          <cell r="E314">
            <v>1085337232</v>
          </cell>
          <cell r="F314" t="str">
            <v>JHON SEBASTIAN NARVAEZ DEJOY</v>
          </cell>
          <cell r="G314" t="str">
            <v>ID2177823635</v>
          </cell>
        </row>
        <row r="315">
          <cell r="A315">
            <v>45552</v>
          </cell>
          <cell r="B315">
            <v>2024001853</v>
          </cell>
          <cell r="C315" t="str">
            <v>452-2024</v>
          </cell>
          <cell r="D315">
            <v>2000000</v>
          </cell>
          <cell r="E315">
            <v>1081052090</v>
          </cell>
          <cell r="F315" t="str">
            <v>DIANA CAROLINA TISOY CHASOY</v>
          </cell>
          <cell r="G315" t="str">
            <v>ID2177823635</v>
          </cell>
        </row>
        <row r="316">
          <cell r="A316">
            <v>45552</v>
          </cell>
          <cell r="B316">
            <v>2024001854</v>
          </cell>
          <cell r="C316" t="str">
            <v>201-2024</v>
          </cell>
          <cell r="D316">
            <v>2000000</v>
          </cell>
          <cell r="E316">
            <v>1085260568</v>
          </cell>
          <cell r="F316" t="str">
            <v>SONIA PATRICIA ESPANA TAPIA</v>
          </cell>
          <cell r="G316" t="str">
            <v>ID2177823635</v>
          </cell>
        </row>
        <row r="317">
          <cell r="A317">
            <v>45552</v>
          </cell>
          <cell r="B317">
            <v>2024001855</v>
          </cell>
          <cell r="C317" t="str">
            <v>418-2024</v>
          </cell>
          <cell r="D317">
            <v>7500000</v>
          </cell>
          <cell r="E317">
            <v>12961407</v>
          </cell>
          <cell r="F317" t="str">
            <v>FRANCO JESUS RODRIGUEZ ARAUJO</v>
          </cell>
          <cell r="G317" t="str">
            <v>ID2177823635</v>
          </cell>
        </row>
        <row r="318">
          <cell r="A318">
            <v>45552</v>
          </cell>
          <cell r="B318">
            <v>2024001856</v>
          </cell>
          <cell r="C318" t="str">
            <v>396-2024</v>
          </cell>
          <cell r="D318">
            <v>4825600</v>
          </cell>
          <cell r="E318">
            <v>59314451</v>
          </cell>
          <cell r="F318" t="str">
            <v>ERIKA JOHANNA OBANDO SANTACRUZ</v>
          </cell>
          <cell r="G318" t="str">
            <v>ID2177823635</v>
          </cell>
        </row>
        <row r="319">
          <cell r="A319">
            <v>45552</v>
          </cell>
          <cell r="B319">
            <v>2024001857</v>
          </cell>
          <cell r="C319" t="str">
            <v>460-2024</v>
          </cell>
          <cell r="D319">
            <v>2000000</v>
          </cell>
          <cell r="E319">
            <v>59830219</v>
          </cell>
          <cell r="F319" t="str">
            <v>ADRIANA GABRIELA DIAZ MONTENEGRO</v>
          </cell>
          <cell r="G319" t="str">
            <v>ID2177823635</v>
          </cell>
        </row>
        <row r="320">
          <cell r="A320">
            <v>45552</v>
          </cell>
          <cell r="B320">
            <v>2024001858</v>
          </cell>
          <cell r="C320" t="str">
            <v>222-2024</v>
          </cell>
          <cell r="D320">
            <v>2000000</v>
          </cell>
          <cell r="E320">
            <v>1085255972</v>
          </cell>
          <cell r="F320" t="str">
            <v>ANDREA PAOLA MONTES PANTOJA</v>
          </cell>
          <cell r="G320" t="str">
            <v>ID2177823635</v>
          </cell>
        </row>
        <row r="321">
          <cell r="A321">
            <v>45552</v>
          </cell>
          <cell r="B321">
            <v>2024001859</v>
          </cell>
          <cell r="C321" t="str">
            <v>469-2024</v>
          </cell>
          <cell r="D321">
            <v>2000000</v>
          </cell>
          <cell r="E321">
            <v>1085269090</v>
          </cell>
          <cell r="F321" t="str">
            <v>FHALOM CAROLINA ROSERO TORRES</v>
          </cell>
          <cell r="G321" t="str">
            <v>ID2177823635</v>
          </cell>
        </row>
        <row r="322">
          <cell r="A322">
            <v>45552</v>
          </cell>
          <cell r="B322">
            <v>2024001860</v>
          </cell>
          <cell r="C322" t="str">
            <v>491-2024</v>
          </cell>
          <cell r="D322">
            <v>2000000</v>
          </cell>
          <cell r="E322">
            <v>37087268</v>
          </cell>
          <cell r="F322" t="str">
            <v>ALEXANDRA MARIA ORTEGA ROSERO</v>
          </cell>
          <cell r="G322" t="str">
            <v>ID2177823635</v>
          </cell>
        </row>
        <row r="323">
          <cell r="A323">
            <v>45553</v>
          </cell>
          <cell r="B323">
            <v>2024001861</v>
          </cell>
          <cell r="C323" t="str">
            <v>220-2024</v>
          </cell>
          <cell r="D323">
            <v>4825600</v>
          </cell>
          <cell r="E323">
            <v>1085283723</v>
          </cell>
          <cell r="F323" t="str">
            <v>DANIEL  ALEJANDRO ESCOBAR  ANDRADE</v>
          </cell>
          <cell r="G323" t="str">
            <v>ID2177823635</v>
          </cell>
        </row>
        <row r="324">
          <cell r="A324">
            <v>45553</v>
          </cell>
          <cell r="B324">
            <v>2024001862</v>
          </cell>
          <cell r="C324" t="str">
            <v>169-2024</v>
          </cell>
          <cell r="D324">
            <v>7500000</v>
          </cell>
          <cell r="E324">
            <v>1088599676</v>
          </cell>
          <cell r="F324" t="str">
            <v>DANIEL GERARDO ERAZO OVIEDO</v>
          </cell>
          <cell r="G324" t="str">
            <v>ID2177823635</v>
          </cell>
        </row>
        <row r="325">
          <cell r="A325">
            <v>45553</v>
          </cell>
          <cell r="B325">
            <v>2024001863</v>
          </cell>
          <cell r="C325" t="str">
            <v>177-2024</v>
          </cell>
          <cell r="D325">
            <v>2000000</v>
          </cell>
          <cell r="E325">
            <v>37084285</v>
          </cell>
          <cell r="F325" t="str">
            <v>JULIE ANDREA FREIRE MIER</v>
          </cell>
          <cell r="G325" t="str">
            <v>ID2177823635</v>
          </cell>
        </row>
        <row r="326">
          <cell r="A326">
            <v>45553</v>
          </cell>
          <cell r="B326">
            <v>2024001864</v>
          </cell>
          <cell r="C326" t="str">
            <v>182-2024</v>
          </cell>
          <cell r="D326">
            <v>2000000</v>
          </cell>
          <cell r="E326">
            <v>1085344082</v>
          </cell>
          <cell r="F326" t="str">
            <v>NATALIA LIZETH AGUIRRE SALAZAR</v>
          </cell>
          <cell r="G326" t="str">
            <v>ID2177823635</v>
          </cell>
        </row>
        <row r="327">
          <cell r="A327">
            <v>45553</v>
          </cell>
          <cell r="B327">
            <v>2024001865</v>
          </cell>
          <cell r="C327" t="str">
            <v>376-2024</v>
          </cell>
          <cell r="D327">
            <v>4825600</v>
          </cell>
          <cell r="E327">
            <v>30732782</v>
          </cell>
          <cell r="F327" t="str">
            <v>ANA  MILENA ROSERO SANTANDER</v>
          </cell>
          <cell r="G327" t="str">
            <v>ID2177823635</v>
          </cell>
        </row>
        <row r="328">
          <cell r="A328">
            <v>45553</v>
          </cell>
          <cell r="B328">
            <v>2024001866</v>
          </cell>
          <cell r="C328" t="str">
            <v>236-2024</v>
          </cell>
          <cell r="D328">
            <v>4750000</v>
          </cell>
          <cell r="E328">
            <v>1085330309</v>
          </cell>
          <cell r="F328" t="str">
            <v>LEYDI GISELLA BENAVIDES LÒPEZ</v>
          </cell>
          <cell r="G328" t="str">
            <v>ID2177823635</v>
          </cell>
        </row>
        <row r="329">
          <cell r="A329">
            <v>45553</v>
          </cell>
          <cell r="B329">
            <v>2024001867</v>
          </cell>
          <cell r="C329" t="str">
            <v>282-2024</v>
          </cell>
          <cell r="D329">
            <v>2000000</v>
          </cell>
          <cell r="E329">
            <v>87070661</v>
          </cell>
          <cell r="F329" t="str">
            <v>EDER SHINEIDER TUTISTAR TUTISTAR</v>
          </cell>
          <cell r="G329" t="str">
            <v>ID2177823635</v>
          </cell>
        </row>
        <row r="330">
          <cell r="A330">
            <v>45553</v>
          </cell>
          <cell r="B330">
            <v>2024001868</v>
          </cell>
          <cell r="C330" t="str">
            <v>283-2024</v>
          </cell>
          <cell r="D330">
            <v>2000000</v>
          </cell>
          <cell r="E330">
            <v>1014857280</v>
          </cell>
          <cell r="F330" t="str">
            <v>LAURA VALENTINA PASCUAZA YUCUMA</v>
          </cell>
          <cell r="G330" t="str">
            <v>ID2177823635</v>
          </cell>
        </row>
        <row r="331">
          <cell r="A331">
            <v>45553</v>
          </cell>
          <cell r="B331">
            <v>2024001869</v>
          </cell>
          <cell r="C331" t="str">
            <v>375-2024</v>
          </cell>
          <cell r="D331">
            <v>4750000</v>
          </cell>
          <cell r="E331">
            <v>1087422930</v>
          </cell>
          <cell r="F331" t="str">
            <v>MARIA FERNANDA SANCHEZ CARDENAS</v>
          </cell>
          <cell r="G331" t="str">
            <v>ID2177823635</v>
          </cell>
        </row>
        <row r="332">
          <cell r="A332">
            <v>45553</v>
          </cell>
          <cell r="B332">
            <v>2024001870</v>
          </cell>
          <cell r="C332" t="str">
            <v>214-2024</v>
          </cell>
          <cell r="D332">
            <v>7500000</v>
          </cell>
          <cell r="E332">
            <v>1085335767</v>
          </cell>
          <cell r="F332" t="str">
            <v>LEIDY CRISTINA RODRÌGUEZ LÓPEZ</v>
          </cell>
          <cell r="G332" t="str">
            <v>ID2177823635</v>
          </cell>
        </row>
        <row r="333">
          <cell r="A333">
            <v>45553</v>
          </cell>
          <cell r="B333">
            <v>2024001873</v>
          </cell>
          <cell r="C333" t="str">
            <v>495-2024</v>
          </cell>
          <cell r="D333">
            <v>2000000</v>
          </cell>
          <cell r="E333">
            <v>27090145</v>
          </cell>
          <cell r="F333" t="str">
            <v>SANDRA PAOLA ROMO JURADO</v>
          </cell>
          <cell r="G333" t="str">
            <v>ID2177823635</v>
          </cell>
        </row>
        <row r="334">
          <cell r="A334">
            <v>45553</v>
          </cell>
          <cell r="B334">
            <v>2024001874</v>
          </cell>
          <cell r="C334" t="str">
            <v>264-2024</v>
          </cell>
          <cell r="D334">
            <v>2000000</v>
          </cell>
          <cell r="E334">
            <v>1085325718</v>
          </cell>
          <cell r="F334" t="str">
            <v>JUAN FERNANDO ZARAMA SILVA</v>
          </cell>
          <cell r="G334" t="str">
            <v>ID2177823635</v>
          </cell>
        </row>
        <row r="335">
          <cell r="A335">
            <v>45553</v>
          </cell>
          <cell r="B335">
            <v>2024001875</v>
          </cell>
          <cell r="C335" t="str">
            <v>478-2024</v>
          </cell>
          <cell r="D335">
            <v>2000000</v>
          </cell>
          <cell r="E335">
            <v>1085330237</v>
          </cell>
          <cell r="F335" t="str">
            <v>LUZ  MARINA BENAVIDES  BASTIDAS</v>
          </cell>
          <cell r="G335" t="str">
            <v>ID2177823635</v>
          </cell>
        </row>
        <row r="336">
          <cell r="A336">
            <v>45553</v>
          </cell>
          <cell r="B336">
            <v>2024001876</v>
          </cell>
          <cell r="C336" t="str">
            <v>243-2024</v>
          </cell>
          <cell r="D336">
            <v>4825600</v>
          </cell>
          <cell r="E336">
            <v>59310145</v>
          </cell>
          <cell r="F336" t="str">
            <v>EDITH ANGELICA LOPEZ VILLARREAL</v>
          </cell>
          <cell r="G336" t="str">
            <v>ID2177823635</v>
          </cell>
        </row>
        <row r="337">
          <cell r="A337">
            <v>45553</v>
          </cell>
          <cell r="B337">
            <v>2024001877</v>
          </cell>
          <cell r="C337" t="str">
            <v>361-2024</v>
          </cell>
          <cell r="D337">
            <v>2000000</v>
          </cell>
          <cell r="E337">
            <v>1085326198</v>
          </cell>
          <cell r="F337" t="str">
            <v>LEIDI YURANI RAMOS CORDOBA</v>
          </cell>
          <cell r="G337" t="str">
            <v>ID2177823635</v>
          </cell>
        </row>
        <row r="338">
          <cell r="A338">
            <v>45553</v>
          </cell>
          <cell r="B338">
            <v>2024001878</v>
          </cell>
          <cell r="C338" t="str">
            <v>216-2024</v>
          </cell>
          <cell r="D338">
            <v>4750000</v>
          </cell>
          <cell r="E338">
            <v>1085293619</v>
          </cell>
          <cell r="F338" t="str">
            <v>JERALDINE  BASTIDAS OCAÑA</v>
          </cell>
          <cell r="G338" t="str">
            <v>ID2177823635</v>
          </cell>
        </row>
        <row r="339">
          <cell r="A339">
            <v>45553</v>
          </cell>
          <cell r="B339">
            <v>2024001879</v>
          </cell>
          <cell r="C339" t="str">
            <v>256-2024</v>
          </cell>
          <cell r="D339">
            <v>2000000</v>
          </cell>
          <cell r="E339">
            <v>1010113730</v>
          </cell>
          <cell r="F339" t="str">
            <v>DIANA MILENA PAZ NANDAR</v>
          </cell>
          <cell r="G339" t="str">
            <v>ID2177823635</v>
          </cell>
        </row>
        <row r="340">
          <cell r="A340">
            <v>45553</v>
          </cell>
          <cell r="B340">
            <v>2024001880</v>
          </cell>
          <cell r="C340" t="str">
            <v>497-2024</v>
          </cell>
          <cell r="D340">
            <v>2000000</v>
          </cell>
          <cell r="E340">
            <v>1085310465</v>
          </cell>
          <cell r="F340" t="str">
            <v>YAMILE ALEJANDRA BOTINA RODRIGUEZ</v>
          </cell>
          <cell r="G340" t="str">
            <v>ID2177823635</v>
          </cell>
        </row>
        <row r="341">
          <cell r="A341">
            <v>45553</v>
          </cell>
          <cell r="B341">
            <v>2024001881</v>
          </cell>
          <cell r="C341" t="str">
            <v>493-2024</v>
          </cell>
          <cell r="D341">
            <v>2000000</v>
          </cell>
          <cell r="E341">
            <v>1085251468</v>
          </cell>
          <cell r="F341" t="str">
            <v>ROSAURA CAROLINA MADROÑERO DELGADO</v>
          </cell>
          <cell r="G341" t="str">
            <v>ID2177823635</v>
          </cell>
        </row>
        <row r="342">
          <cell r="A342">
            <v>45553</v>
          </cell>
          <cell r="B342">
            <v>2024001882</v>
          </cell>
          <cell r="C342" t="str">
            <v>254-2024</v>
          </cell>
          <cell r="D342">
            <v>2000000</v>
          </cell>
          <cell r="E342">
            <v>1085316191</v>
          </cell>
          <cell r="F342" t="str">
            <v>MARIA HOMAIRA GUEVARA CORAL</v>
          </cell>
          <cell r="G342" t="str">
            <v>ID2177823635</v>
          </cell>
        </row>
        <row r="343">
          <cell r="A343">
            <v>45553</v>
          </cell>
          <cell r="B343">
            <v>2024001883</v>
          </cell>
          <cell r="C343" t="str">
            <v>259-2024</v>
          </cell>
          <cell r="D343">
            <v>2000000</v>
          </cell>
          <cell r="E343">
            <v>36757522</v>
          </cell>
          <cell r="F343" t="str">
            <v>VIKY PATRICIA ASCUNTAR CRIOLLO</v>
          </cell>
          <cell r="G343" t="str">
            <v>ID2177823635</v>
          </cell>
        </row>
        <row r="344">
          <cell r="A344">
            <v>45553</v>
          </cell>
          <cell r="B344">
            <v>2024001884</v>
          </cell>
          <cell r="C344" t="str">
            <v>490-2024</v>
          </cell>
          <cell r="D344">
            <v>2000000</v>
          </cell>
          <cell r="E344">
            <v>1081273343</v>
          </cell>
          <cell r="F344" t="str">
            <v>MARIA FERNANDA VASQUEZ ARGOTI</v>
          </cell>
          <cell r="G344" t="str">
            <v>ID2177823635</v>
          </cell>
        </row>
        <row r="345">
          <cell r="A345">
            <v>45554</v>
          </cell>
          <cell r="B345">
            <v>2024001885</v>
          </cell>
          <cell r="C345" t="str">
            <v>366-2024</v>
          </cell>
          <cell r="D345">
            <v>2000000</v>
          </cell>
          <cell r="E345">
            <v>1137624011</v>
          </cell>
          <cell r="F345" t="str">
            <v>KAROL DAYANA TONGUINO TORO</v>
          </cell>
          <cell r="G345" t="str">
            <v>ID2177823635</v>
          </cell>
        </row>
        <row r="346">
          <cell r="A346">
            <v>45554</v>
          </cell>
          <cell r="B346">
            <v>2024001886</v>
          </cell>
          <cell r="C346" t="str">
            <v>438-2024</v>
          </cell>
          <cell r="D346">
            <v>2000000</v>
          </cell>
          <cell r="E346">
            <v>1085338232</v>
          </cell>
          <cell r="F346" t="str">
            <v>CLAUDIA DANIELA PAZ  RIVERA</v>
          </cell>
          <cell r="G346" t="str">
            <v>ID2177823635</v>
          </cell>
        </row>
        <row r="347">
          <cell r="A347">
            <v>45554</v>
          </cell>
          <cell r="B347">
            <v>2024001887</v>
          </cell>
          <cell r="C347" t="str">
            <v>449-2024</v>
          </cell>
          <cell r="D347">
            <v>2000000</v>
          </cell>
          <cell r="E347">
            <v>59311646</v>
          </cell>
          <cell r="F347" t="str">
            <v>DIANA CAROLINA MORAN CRUZ</v>
          </cell>
          <cell r="G347" t="str">
            <v>ID2177823635</v>
          </cell>
        </row>
        <row r="348">
          <cell r="A348">
            <v>45554</v>
          </cell>
          <cell r="B348">
            <v>2024001888</v>
          </cell>
          <cell r="C348" t="str">
            <v>487-2024</v>
          </cell>
          <cell r="D348">
            <v>2000000</v>
          </cell>
          <cell r="E348">
            <v>1193265831</v>
          </cell>
          <cell r="F348" t="str">
            <v>NAYIBE MARCELA LARA MATABANCHOY</v>
          </cell>
          <cell r="G348" t="str">
            <v>ID2177823635</v>
          </cell>
        </row>
        <row r="349">
          <cell r="A349">
            <v>45554</v>
          </cell>
          <cell r="B349">
            <v>2024001889</v>
          </cell>
          <cell r="C349" t="str">
            <v>524-2024</v>
          </cell>
          <cell r="D349">
            <v>2000000</v>
          </cell>
          <cell r="E349">
            <v>12751390</v>
          </cell>
          <cell r="F349" t="str">
            <v>WILLIAM CARLOS VILLOTA MARTÍNEZ</v>
          </cell>
          <cell r="G349" t="str">
            <v>ID2177823635</v>
          </cell>
        </row>
        <row r="350">
          <cell r="A350">
            <v>45554</v>
          </cell>
          <cell r="B350">
            <v>2024001890</v>
          </cell>
          <cell r="C350" t="str">
            <v>183-2024</v>
          </cell>
          <cell r="D350">
            <v>6000000</v>
          </cell>
          <cell r="E350">
            <v>36951002</v>
          </cell>
          <cell r="F350" t="str">
            <v>NANCY VISITACIÓN CHAMORRO GUAICHAR</v>
          </cell>
          <cell r="G350" t="str">
            <v>ID2177823635</v>
          </cell>
        </row>
        <row r="351">
          <cell r="A351">
            <v>45555</v>
          </cell>
          <cell r="B351">
            <v>2024001898</v>
          </cell>
          <cell r="C351" t="str">
            <v>384-2024</v>
          </cell>
          <cell r="D351">
            <v>6000000</v>
          </cell>
          <cell r="E351">
            <v>79724257</v>
          </cell>
          <cell r="F351" t="str">
            <v>LEONEL FERNANDO JOJOA JOJOA</v>
          </cell>
          <cell r="G351" t="str">
            <v>ID2177823635</v>
          </cell>
        </row>
        <row r="352">
          <cell r="A352">
            <v>45555</v>
          </cell>
          <cell r="B352">
            <v>2024001906</v>
          </cell>
          <cell r="C352" t="str">
            <v>211-2024</v>
          </cell>
          <cell r="D352">
            <v>64141827</v>
          </cell>
          <cell r="E352">
            <v>900994364</v>
          </cell>
          <cell r="F352" t="str">
            <v>FUNDACIÓN CALIDAD DE VIDA Y ESPERANZA</v>
          </cell>
          <cell r="G352" t="str">
            <v>ID2177823635</v>
          </cell>
        </row>
        <row r="353">
          <cell r="A353">
            <v>45558</v>
          </cell>
          <cell r="B353">
            <v>2024001920</v>
          </cell>
          <cell r="C353" t="str">
            <v>412-2024</v>
          </cell>
          <cell r="D353">
            <v>2000000</v>
          </cell>
          <cell r="E353">
            <v>59833702</v>
          </cell>
          <cell r="F353" t="str">
            <v>AMANDA  LOPEZ HERNANDEZ</v>
          </cell>
          <cell r="G353" t="str">
            <v>ID2177823635</v>
          </cell>
        </row>
        <row r="354">
          <cell r="A354">
            <v>45558</v>
          </cell>
          <cell r="B354">
            <v>2024001921</v>
          </cell>
          <cell r="C354" t="str">
            <v>234-2024</v>
          </cell>
          <cell r="D354">
            <v>2000000</v>
          </cell>
          <cell r="E354">
            <v>1085313463</v>
          </cell>
          <cell r="F354" t="str">
            <v>JAZMIN DEL CARMEN NUPAN BURBANO</v>
          </cell>
          <cell r="G354" t="str">
            <v>ID2177823635</v>
          </cell>
        </row>
        <row r="355">
          <cell r="A355">
            <v>45558</v>
          </cell>
          <cell r="B355">
            <v>2024001922</v>
          </cell>
          <cell r="C355" t="str">
            <v>209-2024</v>
          </cell>
          <cell r="D355">
            <v>4825600</v>
          </cell>
          <cell r="E355">
            <v>1085321943</v>
          </cell>
          <cell r="F355" t="str">
            <v>MARIA FERNANDA INGUILAN CARRERA</v>
          </cell>
          <cell r="G355" t="str">
            <v>ID2177823635</v>
          </cell>
        </row>
        <row r="356">
          <cell r="A356">
            <v>45558</v>
          </cell>
          <cell r="B356">
            <v>2024001923</v>
          </cell>
          <cell r="C356" t="str">
            <v>258-2024</v>
          </cell>
          <cell r="D356">
            <v>2000000</v>
          </cell>
          <cell r="E356">
            <v>27285974</v>
          </cell>
          <cell r="F356" t="str">
            <v>LUZDARI  JARAMILLO NOGUERA</v>
          </cell>
          <cell r="G356" t="str">
            <v>ID2177823635</v>
          </cell>
        </row>
        <row r="357">
          <cell r="A357">
            <v>45558</v>
          </cell>
          <cell r="B357">
            <v>2024001924</v>
          </cell>
          <cell r="C357" t="str">
            <v>360-2024</v>
          </cell>
          <cell r="D357">
            <v>4750000</v>
          </cell>
          <cell r="E357">
            <v>1085345772</v>
          </cell>
          <cell r="F357" t="str">
            <v>MARIA ISABEL ALVAREZ CAICEDO</v>
          </cell>
          <cell r="G357" t="str">
            <v>ID2177823635</v>
          </cell>
        </row>
        <row r="358">
          <cell r="A358">
            <v>45558</v>
          </cell>
          <cell r="B358">
            <v>2024001925</v>
          </cell>
          <cell r="C358" t="str">
            <v>496-2024</v>
          </cell>
          <cell r="D358">
            <v>2000000</v>
          </cell>
          <cell r="E358">
            <v>1085330079</v>
          </cell>
          <cell r="F358" t="str">
            <v>ANGIE GIONELLA HERNANDEZ VILLOTA</v>
          </cell>
          <cell r="G358" t="str">
            <v>ID2177823635</v>
          </cell>
        </row>
        <row r="359">
          <cell r="A359">
            <v>45558</v>
          </cell>
          <cell r="B359">
            <v>2024001926</v>
          </cell>
          <cell r="C359" t="str">
            <v>175-2024</v>
          </cell>
          <cell r="D359">
            <v>2000000</v>
          </cell>
          <cell r="E359">
            <v>1085318688</v>
          </cell>
          <cell r="F359" t="str">
            <v>DARLLY ROXANA ROSERO TIMARÁN</v>
          </cell>
          <cell r="G359" t="str">
            <v>ID2177823635</v>
          </cell>
        </row>
        <row r="360">
          <cell r="A360">
            <v>45558</v>
          </cell>
          <cell r="B360">
            <v>2024001927</v>
          </cell>
          <cell r="C360" t="str">
            <v>203-2024</v>
          </cell>
          <cell r="D360">
            <v>2000000</v>
          </cell>
          <cell r="E360">
            <v>1085339190</v>
          </cell>
          <cell r="F360" t="str">
            <v>KELLY YURANY JOJOA BOTINA</v>
          </cell>
          <cell r="G360" t="str">
            <v>ID2177823635</v>
          </cell>
        </row>
        <row r="361">
          <cell r="A361">
            <v>45558</v>
          </cell>
          <cell r="B361">
            <v>2024001928</v>
          </cell>
          <cell r="C361" t="str">
            <v>374-2024</v>
          </cell>
          <cell r="D361">
            <v>2000000</v>
          </cell>
          <cell r="E361">
            <v>36752202</v>
          </cell>
          <cell r="F361" t="str">
            <v>PAULA ANDREA ROCHA DELGADO</v>
          </cell>
          <cell r="G361" t="str">
            <v>ID2177823635</v>
          </cell>
        </row>
        <row r="362">
          <cell r="A362">
            <v>45558</v>
          </cell>
          <cell r="B362">
            <v>2024001929</v>
          </cell>
          <cell r="C362" t="str">
            <v>181-2024</v>
          </cell>
          <cell r="D362">
            <v>6000000</v>
          </cell>
          <cell r="E362">
            <v>37013610</v>
          </cell>
          <cell r="F362" t="str">
            <v>MARIA  IDER CASANOVA BURBANO</v>
          </cell>
          <cell r="G362" t="str">
            <v>ID2177823635</v>
          </cell>
        </row>
        <row r="363">
          <cell r="A363">
            <v>45558</v>
          </cell>
          <cell r="B363">
            <v>2024001930</v>
          </cell>
          <cell r="C363" t="str">
            <v>232-2024</v>
          </cell>
          <cell r="D363">
            <v>7500000</v>
          </cell>
          <cell r="E363">
            <v>37087120</v>
          </cell>
          <cell r="F363" t="str">
            <v>JOHANA CAROLINA CAICEDO GOYES</v>
          </cell>
          <cell r="G363" t="str">
            <v>ID2177823635</v>
          </cell>
        </row>
        <row r="364">
          <cell r="A364">
            <v>45558</v>
          </cell>
          <cell r="B364">
            <v>2024001931</v>
          </cell>
          <cell r="C364" t="str">
            <v>233-2024</v>
          </cell>
          <cell r="D364">
            <v>4750000</v>
          </cell>
          <cell r="E364">
            <v>1085318201</v>
          </cell>
          <cell r="F364" t="str">
            <v>JAZMIN ELIZABETH ARCE CALDERON</v>
          </cell>
          <cell r="G364" t="str">
            <v>ID2177823635</v>
          </cell>
        </row>
        <row r="365">
          <cell r="A365">
            <v>45558</v>
          </cell>
          <cell r="B365">
            <v>2024001932</v>
          </cell>
          <cell r="C365" t="str">
            <v>230-2024</v>
          </cell>
          <cell r="D365">
            <v>4825600</v>
          </cell>
          <cell r="E365">
            <v>1088730712</v>
          </cell>
          <cell r="F365" t="str">
            <v>ANGELA PATRICIA BASTIDAS  MELO</v>
          </cell>
          <cell r="G365" t="str">
            <v>ID2177823635</v>
          </cell>
        </row>
        <row r="366">
          <cell r="A366">
            <v>45559</v>
          </cell>
          <cell r="B366">
            <v>2024001934</v>
          </cell>
          <cell r="C366" t="str">
            <v>364-2024</v>
          </cell>
          <cell r="D366">
            <v>2000000</v>
          </cell>
          <cell r="E366">
            <v>1085327677</v>
          </cell>
          <cell r="F366" t="str">
            <v>JINETH VANESA CONSTAIN LASSO</v>
          </cell>
          <cell r="G366" t="str">
            <v>ID2177823635</v>
          </cell>
        </row>
        <row r="367">
          <cell r="A367">
            <v>45559</v>
          </cell>
          <cell r="B367">
            <v>2024001935</v>
          </cell>
          <cell r="C367" t="str">
            <v>472-2024</v>
          </cell>
          <cell r="D367">
            <v>2000000</v>
          </cell>
          <cell r="E367">
            <v>12750863</v>
          </cell>
          <cell r="F367" t="str">
            <v>MARIO ANDRES ROSAS  ENRIQUEZ</v>
          </cell>
          <cell r="G367" t="str">
            <v>ID2177823635</v>
          </cell>
        </row>
        <row r="368">
          <cell r="A368">
            <v>45559</v>
          </cell>
          <cell r="B368">
            <v>2024001936</v>
          </cell>
          <cell r="C368" t="str">
            <v>467-2024</v>
          </cell>
          <cell r="D368">
            <v>2000000</v>
          </cell>
          <cell r="E368">
            <v>1085337465</v>
          </cell>
          <cell r="F368" t="str">
            <v>LESLY NATHALIA MAIGUAL JURADO</v>
          </cell>
          <cell r="G368" t="str">
            <v>ID2177823635</v>
          </cell>
        </row>
        <row r="369">
          <cell r="A369">
            <v>45559</v>
          </cell>
          <cell r="B369">
            <v>2024001937</v>
          </cell>
          <cell r="C369" t="str">
            <v>367-2024</v>
          </cell>
          <cell r="D369">
            <v>2000000</v>
          </cell>
          <cell r="E369">
            <v>1089243630</v>
          </cell>
          <cell r="F369" t="str">
            <v>YENIFER NAYIBE MENESES TOBAR</v>
          </cell>
          <cell r="G369" t="str">
            <v>ID2177823635</v>
          </cell>
        </row>
        <row r="370">
          <cell r="A370">
            <v>45559</v>
          </cell>
          <cell r="B370">
            <v>2024001938</v>
          </cell>
          <cell r="C370" t="str">
            <v>479-2024</v>
          </cell>
          <cell r="D370">
            <v>2000000</v>
          </cell>
          <cell r="E370">
            <v>1085314075</v>
          </cell>
          <cell r="F370" t="str">
            <v>LORENA CATERINE ASCUNTAR CUAJIBIOY</v>
          </cell>
          <cell r="G370" t="str">
            <v>ID2177823635</v>
          </cell>
        </row>
        <row r="371">
          <cell r="A371">
            <v>45559</v>
          </cell>
          <cell r="B371">
            <v>2024001939</v>
          </cell>
          <cell r="C371" t="str">
            <v>381-2024</v>
          </cell>
          <cell r="D371">
            <v>7500000</v>
          </cell>
          <cell r="E371">
            <v>1085336362</v>
          </cell>
          <cell r="F371" t="str">
            <v>SOFIA ESMERALDA MEJIA ORTÍZ</v>
          </cell>
          <cell r="G371" t="str">
            <v>ID2177823635</v>
          </cell>
        </row>
        <row r="372">
          <cell r="A372">
            <v>45559</v>
          </cell>
          <cell r="B372">
            <v>2024001941</v>
          </cell>
          <cell r="C372" t="str">
            <v>255-2024</v>
          </cell>
          <cell r="D372">
            <v>2000000</v>
          </cell>
          <cell r="E372">
            <v>1085347540</v>
          </cell>
          <cell r="F372" t="str">
            <v>DANIELA ALEXANDRA PABON YARPAS</v>
          </cell>
          <cell r="G372" t="str">
            <v>ID2177823635</v>
          </cell>
        </row>
        <row r="373">
          <cell r="A373">
            <v>45559</v>
          </cell>
          <cell r="B373">
            <v>2024001942</v>
          </cell>
          <cell r="C373" t="str">
            <v>484-2024</v>
          </cell>
          <cell r="D373">
            <v>2000000</v>
          </cell>
          <cell r="E373">
            <v>27309586</v>
          </cell>
          <cell r="F373" t="str">
            <v>LUCENY CENIDIA DAVID  RODRIGUEZ</v>
          </cell>
          <cell r="G373" t="str">
            <v>ID2177823635</v>
          </cell>
        </row>
        <row r="374">
          <cell r="A374">
            <v>45559</v>
          </cell>
          <cell r="B374">
            <v>2024001943</v>
          </cell>
          <cell r="C374" t="str">
            <v>470-2024</v>
          </cell>
          <cell r="D374">
            <v>2000000</v>
          </cell>
          <cell r="E374">
            <v>1086016308</v>
          </cell>
          <cell r="F374" t="str">
            <v>AYDE JACKELINE CABRERA CRIOLLO</v>
          </cell>
          <cell r="G374" t="str">
            <v>ID2177823635</v>
          </cell>
        </row>
        <row r="375">
          <cell r="A375">
            <v>45559</v>
          </cell>
          <cell r="B375">
            <v>2024001944</v>
          </cell>
          <cell r="C375" t="str">
            <v>152-2024</v>
          </cell>
          <cell r="D375">
            <v>4750000</v>
          </cell>
          <cell r="E375">
            <v>1085260497</v>
          </cell>
          <cell r="F375" t="str">
            <v>JOSE FERNANDO CHAÑA QUENGUAN</v>
          </cell>
          <cell r="G375" t="str">
            <v>ID2177823635</v>
          </cell>
        </row>
        <row r="376">
          <cell r="A376">
            <v>45559</v>
          </cell>
          <cell r="B376">
            <v>2024001945</v>
          </cell>
          <cell r="C376" t="str">
            <v>461-2024</v>
          </cell>
          <cell r="D376">
            <v>2000000</v>
          </cell>
          <cell r="E376">
            <v>27094521</v>
          </cell>
          <cell r="F376" t="str">
            <v>RUTH JACQUELINE GAMEZ PABON</v>
          </cell>
          <cell r="G376" t="str">
            <v>ID2177823635</v>
          </cell>
        </row>
        <row r="377">
          <cell r="A377">
            <v>45561</v>
          </cell>
          <cell r="B377">
            <v>2024001953</v>
          </cell>
          <cell r="C377" t="str">
            <v>240-2024</v>
          </cell>
          <cell r="D377">
            <v>4825600</v>
          </cell>
          <cell r="E377">
            <v>1085321578</v>
          </cell>
          <cell r="F377" t="str">
            <v>CAROL  SUVANY HERRERA ERAZO</v>
          </cell>
          <cell r="G377" t="str">
            <v>ID2177823635</v>
          </cell>
        </row>
        <row r="378">
          <cell r="A378">
            <v>45561</v>
          </cell>
          <cell r="B378">
            <v>2024001954</v>
          </cell>
          <cell r="C378" t="str">
            <v>504-2024</v>
          </cell>
          <cell r="D378">
            <v>2000000</v>
          </cell>
          <cell r="E378">
            <v>1081053820</v>
          </cell>
          <cell r="F378" t="str">
            <v>ANDREA  CATALINA CUASTUMAL ESCOBAR</v>
          </cell>
          <cell r="G378" t="str">
            <v>ID2177823635</v>
          </cell>
        </row>
        <row r="379">
          <cell r="A379">
            <v>45561</v>
          </cell>
          <cell r="B379">
            <v>2024001955</v>
          </cell>
          <cell r="C379" t="str">
            <v>399-2024</v>
          </cell>
          <cell r="D379">
            <v>2000000</v>
          </cell>
          <cell r="E379">
            <v>1193385397</v>
          </cell>
          <cell r="F379" t="str">
            <v>KAROL ESTEFANY MIRANDA TOBAR</v>
          </cell>
          <cell r="G379" t="str">
            <v>ID2177823635</v>
          </cell>
        </row>
        <row r="380">
          <cell r="A380">
            <v>45561</v>
          </cell>
          <cell r="B380">
            <v>2024001956</v>
          </cell>
          <cell r="C380" t="str">
            <v>393-2024</v>
          </cell>
          <cell r="D380">
            <v>2000000</v>
          </cell>
          <cell r="E380">
            <v>1085331508</v>
          </cell>
          <cell r="F380" t="str">
            <v>NESLY YANID MUÑOZ ORTÍZ</v>
          </cell>
          <cell r="G380" t="str">
            <v>ID2177823635</v>
          </cell>
        </row>
        <row r="381">
          <cell r="A381">
            <v>45561</v>
          </cell>
          <cell r="B381">
            <v>2024001957</v>
          </cell>
          <cell r="C381" t="str">
            <v>373-2024</v>
          </cell>
          <cell r="D381">
            <v>2000000</v>
          </cell>
          <cell r="E381">
            <v>1085252263</v>
          </cell>
          <cell r="F381" t="str">
            <v>DEISY JOHANNA BASTIDAS JOJOA</v>
          </cell>
          <cell r="G381" t="str">
            <v>ID2177823635</v>
          </cell>
        </row>
        <row r="382">
          <cell r="A382">
            <v>45561</v>
          </cell>
          <cell r="B382">
            <v>2024001958</v>
          </cell>
          <cell r="C382" t="str">
            <v>401-2024</v>
          </cell>
          <cell r="D382">
            <v>6000000</v>
          </cell>
          <cell r="E382">
            <v>1085253062</v>
          </cell>
          <cell r="F382" t="str">
            <v>LILIANA MAYER BOTINA CRIOLLO</v>
          </cell>
          <cell r="G382" t="str">
            <v>ID2177823635</v>
          </cell>
        </row>
        <row r="383">
          <cell r="A383">
            <v>45561</v>
          </cell>
          <cell r="B383">
            <v>2024001959</v>
          </cell>
          <cell r="C383" t="str">
            <v>386-2024</v>
          </cell>
          <cell r="D383">
            <v>6000000</v>
          </cell>
          <cell r="E383">
            <v>1010010954</v>
          </cell>
          <cell r="F383" t="str">
            <v>JULIANA VALENTINA MENDEZ ORTÍZ</v>
          </cell>
          <cell r="G383" t="str">
            <v>ID2177823635</v>
          </cell>
        </row>
        <row r="384">
          <cell r="A384">
            <v>45561</v>
          </cell>
          <cell r="B384">
            <v>2024001960</v>
          </cell>
          <cell r="C384" t="str">
            <v>489-2024</v>
          </cell>
          <cell r="D384">
            <v>2000000</v>
          </cell>
          <cell r="E384">
            <v>1004535115</v>
          </cell>
          <cell r="F384" t="str">
            <v>LISETH  MUÑOZ MARTINEZ</v>
          </cell>
          <cell r="G384" t="str">
            <v>ID2177823635</v>
          </cell>
        </row>
        <row r="385">
          <cell r="A385">
            <v>45561</v>
          </cell>
          <cell r="B385">
            <v>2024001961</v>
          </cell>
          <cell r="C385" t="str">
            <v>403-2024</v>
          </cell>
          <cell r="D385">
            <v>4825600</v>
          </cell>
          <cell r="E385">
            <v>12983807</v>
          </cell>
          <cell r="F385" t="str">
            <v>RICARDO  ENRIQUE VEGA MERA</v>
          </cell>
          <cell r="G385" t="str">
            <v>ID2177823635</v>
          </cell>
        </row>
        <row r="386">
          <cell r="A386">
            <v>45561</v>
          </cell>
          <cell r="B386">
            <v>2024001962</v>
          </cell>
          <cell r="C386" t="str">
            <v>377-2024</v>
          </cell>
          <cell r="D386">
            <v>4750000</v>
          </cell>
          <cell r="E386">
            <v>1233192618</v>
          </cell>
          <cell r="F386" t="str">
            <v>KARLA VALERIA AZA  CEPEDA</v>
          </cell>
          <cell r="G386" t="str">
            <v>ID2177823635</v>
          </cell>
        </row>
        <row r="387">
          <cell r="A387">
            <v>45561</v>
          </cell>
          <cell r="B387">
            <v>2024001963</v>
          </cell>
          <cell r="C387" t="str">
            <v>392-2024</v>
          </cell>
          <cell r="D387">
            <v>2000000</v>
          </cell>
          <cell r="E387">
            <v>59314601</v>
          </cell>
          <cell r="F387" t="str">
            <v>CAROL VIVIANA RODRIGUEZ  CARDENAS</v>
          </cell>
          <cell r="G387" t="str">
            <v>ID2177823635</v>
          </cell>
        </row>
        <row r="388">
          <cell r="A388">
            <v>45561</v>
          </cell>
          <cell r="B388">
            <v>2024001964</v>
          </cell>
          <cell r="C388" t="str">
            <v>480-2024</v>
          </cell>
          <cell r="D388">
            <v>2000000</v>
          </cell>
          <cell r="E388">
            <v>1085290651</v>
          </cell>
          <cell r="F388" t="str">
            <v>INDIRA TAMARA PALACIOS BUSTOS</v>
          </cell>
          <cell r="G388" t="str">
            <v>ID2177823635</v>
          </cell>
        </row>
        <row r="389">
          <cell r="A389">
            <v>45561</v>
          </cell>
          <cell r="B389">
            <v>2024001965</v>
          </cell>
          <cell r="C389" t="str">
            <v>249-2024</v>
          </cell>
          <cell r="D389">
            <v>2000000</v>
          </cell>
          <cell r="E389">
            <v>59830040</v>
          </cell>
          <cell r="F389" t="str">
            <v>ANA CLEMENCIA BASTIDAS CERON</v>
          </cell>
          <cell r="G389" t="str">
            <v>ID2177823635</v>
          </cell>
        </row>
        <row r="390">
          <cell r="A390">
            <v>45561</v>
          </cell>
          <cell r="B390">
            <v>2024001966</v>
          </cell>
          <cell r="C390" t="str">
            <v>383-2024</v>
          </cell>
          <cell r="D390">
            <v>2000000</v>
          </cell>
          <cell r="E390">
            <v>1085295383</v>
          </cell>
          <cell r="F390" t="str">
            <v>ELOISA YERALDINE FREYRE GOMEZ</v>
          </cell>
          <cell r="G390" t="str">
            <v>ID2177823635</v>
          </cell>
        </row>
        <row r="391">
          <cell r="A391">
            <v>45561</v>
          </cell>
          <cell r="B391">
            <v>2024001967</v>
          </cell>
          <cell r="C391" t="str">
            <v>260-2024</v>
          </cell>
          <cell r="D391">
            <v>2000000</v>
          </cell>
          <cell r="E391">
            <v>1085261053</v>
          </cell>
          <cell r="F391" t="str">
            <v>ISABEL CRISTINA SANTACRUZ MUÑOZ</v>
          </cell>
          <cell r="G391" t="str">
            <v>ID2177823635</v>
          </cell>
        </row>
        <row r="392">
          <cell r="A392">
            <v>45561</v>
          </cell>
          <cell r="B392">
            <v>2024001968</v>
          </cell>
          <cell r="C392" t="str">
            <v>382-2024</v>
          </cell>
          <cell r="D392">
            <v>6000000</v>
          </cell>
          <cell r="E392">
            <v>36954410</v>
          </cell>
          <cell r="F392" t="str">
            <v>KARINA MARIBEL LUNA LOPEZ</v>
          </cell>
          <cell r="G392" t="str">
            <v>ID2177823635</v>
          </cell>
        </row>
        <row r="393">
          <cell r="A393">
            <v>45561</v>
          </cell>
          <cell r="B393">
            <v>2024001969</v>
          </cell>
          <cell r="C393" t="str">
            <v>168-2024</v>
          </cell>
          <cell r="D393">
            <v>2000000</v>
          </cell>
          <cell r="E393">
            <v>27087122</v>
          </cell>
          <cell r="F393" t="str">
            <v>MARITZA ROCIO OLIVA CUZ</v>
          </cell>
          <cell r="G393" t="str">
            <v>ID2177823635</v>
          </cell>
        </row>
        <row r="394">
          <cell r="A394">
            <v>45561</v>
          </cell>
          <cell r="B394">
            <v>2024001970</v>
          </cell>
          <cell r="C394" t="str">
            <v>485-2024</v>
          </cell>
          <cell r="D394">
            <v>2000000</v>
          </cell>
          <cell r="E394">
            <v>36757715</v>
          </cell>
          <cell r="F394" t="str">
            <v>SONIA DEL ROCIO GOMEZ NARVAEZ</v>
          </cell>
          <cell r="G394" t="str">
            <v>ID2177823635</v>
          </cell>
        </row>
        <row r="395">
          <cell r="A395">
            <v>45561</v>
          </cell>
          <cell r="B395">
            <v>2024001971</v>
          </cell>
          <cell r="C395" t="str">
            <v>253-2024</v>
          </cell>
          <cell r="D395">
            <v>2000000</v>
          </cell>
          <cell r="E395">
            <v>1004592366</v>
          </cell>
          <cell r="F395" t="str">
            <v>IBONNE ALEJANDRA SILVA ARAUJO</v>
          </cell>
          <cell r="G395" t="str">
            <v>ID2177823635</v>
          </cell>
        </row>
        <row r="396">
          <cell r="A396">
            <v>45561</v>
          </cell>
          <cell r="B396">
            <v>2024001972</v>
          </cell>
          <cell r="C396" t="str">
            <v>270-2024</v>
          </cell>
          <cell r="D396">
            <v>7500000</v>
          </cell>
          <cell r="E396">
            <v>7603662</v>
          </cell>
          <cell r="F396" t="str">
            <v>FERNANDO ALBERTO ROMERO SOLANO</v>
          </cell>
          <cell r="G396" t="str">
            <v>ID2177823635</v>
          </cell>
        </row>
        <row r="397">
          <cell r="A397">
            <v>45561</v>
          </cell>
          <cell r="B397">
            <v>2024001976</v>
          </cell>
          <cell r="C397" t="str">
            <v>165-2024</v>
          </cell>
          <cell r="D397">
            <v>2000000</v>
          </cell>
          <cell r="E397">
            <v>1085286725</v>
          </cell>
          <cell r="F397" t="str">
            <v>DIANA CAROLINA ORTEGA CAICEDO</v>
          </cell>
          <cell r="G397" t="str">
            <v>ID2177823635</v>
          </cell>
        </row>
        <row r="398">
          <cell r="A398">
            <v>45561</v>
          </cell>
          <cell r="B398">
            <v>2024001977</v>
          </cell>
          <cell r="C398" t="str">
            <v>321-2024</v>
          </cell>
          <cell r="D398">
            <v>6000000</v>
          </cell>
          <cell r="E398">
            <v>1004213964</v>
          </cell>
          <cell r="F398" t="str">
            <v>JENIFFER  ARCOS GIL</v>
          </cell>
          <cell r="G398" t="str">
            <v>ID2177823635</v>
          </cell>
        </row>
        <row r="399">
          <cell r="A399">
            <v>45561</v>
          </cell>
          <cell r="B399">
            <v>2024001978</v>
          </cell>
          <cell r="C399" t="str">
            <v>257-2024</v>
          </cell>
          <cell r="D399">
            <v>4750000</v>
          </cell>
          <cell r="E399">
            <v>1085318684</v>
          </cell>
          <cell r="F399" t="str">
            <v>JENIFER  AREVALO CRIOLLO</v>
          </cell>
          <cell r="G399" t="str">
            <v>ID2177823635</v>
          </cell>
        </row>
        <row r="400">
          <cell r="A400">
            <v>45561</v>
          </cell>
          <cell r="B400">
            <v>2024001979</v>
          </cell>
          <cell r="C400" t="str">
            <v>390-2024</v>
          </cell>
          <cell r="D400">
            <v>7500000</v>
          </cell>
          <cell r="E400">
            <v>87065647</v>
          </cell>
          <cell r="F400" t="str">
            <v>JHON JAIME LOPEZ GUERRERO</v>
          </cell>
          <cell r="G400" t="str">
            <v>ID2177823635</v>
          </cell>
        </row>
        <row r="401">
          <cell r="A401">
            <v>45561</v>
          </cell>
          <cell r="B401">
            <v>2024001980</v>
          </cell>
          <cell r="C401" t="str">
            <v>196-2024</v>
          </cell>
          <cell r="D401">
            <v>6000000</v>
          </cell>
          <cell r="E401">
            <v>1085254626</v>
          </cell>
          <cell r="F401" t="str">
            <v>CAROLINA ISABEL PORTILLA TEPUD</v>
          </cell>
          <cell r="G401" t="str">
            <v>ID2177823635</v>
          </cell>
        </row>
        <row r="402">
          <cell r="A402">
            <v>45561</v>
          </cell>
          <cell r="B402">
            <v>2024001981</v>
          </cell>
          <cell r="C402" t="str">
            <v>492-2024</v>
          </cell>
          <cell r="D402">
            <v>2000000</v>
          </cell>
          <cell r="E402">
            <v>1085320930</v>
          </cell>
          <cell r="F402" t="str">
            <v>LINA YEZMIN DE LA CRUZ CUSIS</v>
          </cell>
          <cell r="G402" t="str">
            <v>ID2177823635</v>
          </cell>
        </row>
        <row r="403">
          <cell r="A403">
            <v>45561</v>
          </cell>
          <cell r="B403">
            <v>2024001982</v>
          </cell>
          <cell r="C403" t="str">
            <v>394-2024</v>
          </cell>
          <cell r="D403">
            <v>2000000</v>
          </cell>
          <cell r="E403">
            <v>1233189234</v>
          </cell>
          <cell r="F403" t="str">
            <v>YULLI KAROLINA CASTILLO PAZ</v>
          </cell>
          <cell r="G403" t="str">
            <v>ID2177823635</v>
          </cell>
        </row>
        <row r="404">
          <cell r="A404">
            <v>45561</v>
          </cell>
          <cell r="B404">
            <v>2024001983</v>
          </cell>
          <cell r="C404" t="str">
            <v>266-2024</v>
          </cell>
          <cell r="D404">
            <v>4750000</v>
          </cell>
          <cell r="E404">
            <v>1085324546</v>
          </cell>
          <cell r="F404" t="str">
            <v>ERIKA PAOLA ESTRADA  BURBANO</v>
          </cell>
          <cell r="G404" t="str">
            <v>ID2177823635</v>
          </cell>
        </row>
        <row r="405">
          <cell r="A405">
            <v>45561</v>
          </cell>
          <cell r="B405">
            <v>2024001984</v>
          </cell>
          <cell r="C405" t="str">
            <v>267-2024</v>
          </cell>
          <cell r="D405">
            <v>2000000</v>
          </cell>
          <cell r="E405">
            <v>1085323101</v>
          </cell>
          <cell r="F405" t="str">
            <v>ANGIE VIVIANA AULLON VASQUEZ</v>
          </cell>
          <cell r="G405" t="str">
            <v>ID2177823635</v>
          </cell>
        </row>
        <row r="406">
          <cell r="A406">
            <v>45565</v>
          </cell>
          <cell r="B406">
            <v>2024001993</v>
          </cell>
          <cell r="C406" t="str">
            <v>391-2024</v>
          </cell>
          <cell r="D406">
            <v>2000000</v>
          </cell>
          <cell r="E406">
            <v>1088799034</v>
          </cell>
          <cell r="F406" t="str">
            <v>GREACE  ALEJANDRA CALPA CAICEDO</v>
          </cell>
          <cell r="G406" t="str">
            <v>ID2177823635</v>
          </cell>
        </row>
        <row r="407">
          <cell r="A407">
            <v>45565</v>
          </cell>
          <cell r="B407">
            <v>2024001994</v>
          </cell>
          <cell r="C407" t="str">
            <v>387-2024</v>
          </cell>
          <cell r="D407">
            <v>6000000</v>
          </cell>
          <cell r="E407">
            <v>59836926</v>
          </cell>
          <cell r="F407" t="str">
            <v>DEYANIRA  BADOS DAZA</v>
          </cell>
          <cell r="G407" t="str">
            <v>ID2177823635</v>
          </cell>
        </row>
        <row r="408">
          <cell r="A408">
            <v>45565</v>
          </cell>
          <cell r="B408">
            <v>2024001995</v>
          </cell>
          <cell r="C408" t="str">
            <v>486-2024</v>
          </cell>
          <cell r="D408">
            <v>2000000</v>
          </cell>
          <cell r="E408">
            <v>36759281</v>
          </cell>
          <cell r="F408" t="str">
            <v>VERONICA  HURTADO PASCUAZA</v>
          </cell>
          <cell r="G408" t="str">
            <v>ID2177823635</v>
          </cell>
        </row>
        <row r="409">
          <cell r="A409">
            <v>45565</v>
          </cell>
          <cell r="B409">
            <v>2024001996</v>
          </cell>
          <cell r="C409" t="str">
            <v>621-2024</v>
          </cell>
          <cell r="D409">
            <v>9230326</v>
          </cell>
          <cell r="E409">
            <v>1061696504</v>
          </cell>
          <cell r="F409" t="str">
            <v>ADRIANA LORENA OVIEDO PAREDES</v>
          </cell>
          <cell r="G409" t="str">
            <v>ID2177823635</v>
          </cell>
        </row>
        <row r="410">
          <cell r="A410">
            <v>45566</v>
          </cell>
          <cell r="B410">
            <v>2024002002</v>
          </cell>
          <cell r="C410" t="str">
            <v>398-2024</v>
          </cell>
          <cell r="D410">
            <v>4750000</v>
          </cell>
          <cell r="E410">
            <v>1085263018</v>
          </cell>
          <cell r="F410" t="str">
            <v>LUIS ALONSO GUEVARA DE LOS RIOS</v>
          </cell>
          <cell r="G410" t="str">
            <v>ID2177823635</v>
          </cell>
        </row>
        <row r="411">
          <cell r="A411">
            <v>45566</v>
          </cell>
          <cell r="B411">
            <v>2024002003</v>
          </cell>
          <cell r="C411" t="str">
            <v>167-2024</v>
          </cell>
          <cell r="D411">
            <v>6000000</v>
          </cell>
          <cell r="E411">
            <v>97470681</v>
          </cell>
          <cell r="F411" t="str">
            <v>FERNANDO TEOFILO ROSERO PATIÑO</v>
          </cell>
          <cell r="G411" t="str">
            <v>ID2177823635</v>
          </cell>
        </row>
        <row r="412">
          <cell r="A412">
            <v>45566</v>
          </cell>
          <cell r="B412">
            <v>2024002005</v>
          </cell>
          <cell r="C412" t="str">
            <v>409-2024</v>
          </cell>
          <cell r="D412">
            <v>2000000</v>
          </cell>
          <cell r="E412">
            <v>1081272025</v>
          </cell>
          <cell r="F412" t="str">
            <v>ANGIE GABRIELA ENRIQUEZ TACAN</v>
          </cell>
          <cell r="G412" t="str">
            <v>ID2177823635</v>
          </cell>
        </row>
        <row r="413">
          <cell r="A413">
            <v>45566</v>
          </cell>
          <cell r="B413">
            <v>2024002006</v>
          </cell>
          <cell r="C413" t="str">
            <v>281-2024</v>
          </cell>
          <cell r="D413">
            <v>4750000</v>
          </cell>
          <cell r="E413">
            <v>1087413951</v>
          </cell>
          <cell r="F413" t="str">
            <v>MAYERLY NORIDIA ASMAZA GETIAL</v>
          </cell>
          <cell r="G413" t="str">
            <v>ID2177823635</v>
          </cell>
        </row>
        <row r="414">
          <cell r="A414">
            <v>45567</v>
          </cell>
          <cell r="B414">
            <v>2024002009</v>
          </cell>
          <cell r="C414" t="str">
            <v>268-2024</v>
          </cell>
          <cell r="D414">
            <v>2000000</v>
          </cell>
          <cell r="E414">
            <v>1004232508</v>
          </cell>
          <cell r="F414" t="str">
            <v>PABLO JOSÉ BADOS LÒPEZ</v>
          </cell>
          <cell r="G414" t="str">
            <v>ID2177823635</v>
          </cell>
        </row>
        <row r="415">
          <cell r="A415">
            <v>45567</v>
          </cell>
          <cell r="B415">
            <v>2024002011</v>
          </cell>
          <cell r="C415" t="str">
            <v>275-2024</v>
          </cell>
          <cell r="D415">
            <v>2000000</v>
          </cell>
          <cell r="E415">
            <v>1193265360</v>
          </cell>
          <cell r="F415" t="str">
            <v>ADRIANA SOFIA ISANDARA NUPAN</v>
          </cell>
          <cell r="G415" t="str">
            <v>ID2177823635</v>
          </cell>
        </row>
        <row r="416">
          <cell r="A416">
            <v>45567</v>
          </cell>
          <cell r="B416">
            <v>2024002012</v>
          </cell>
          <cell r="C416" t="str">
            <v>344-2024</v>
          </cell>
          <cell r="D416">
            <v>2000000</v>
          </cell>
          <cell r="E416">
            <v>12974849</v>
          </cell>
          <cell r="F416" t="str">
            <v>PABLO ERNESTO RIOBAMBA IPIALES</v>
          </cell>
          <cell r="G416" t="str">
            <v>ID2177823635</v>
          </cell>
        </row>
        <row r="417">
          <cell r="A417">
            <v>45567</v>
          </cell>
          <cell r="B417">
            <v>2024002014</v>
          </cell>
          <cell r="C417" t="str">
            <v>217-2024</v>
          </cell>
          <cell r="D417">
            <v>4825600</v>
          </cell>
          <cell r="E417">
            <v>1085267184</v>
          </cell>
          <cell r="F417" t="str">
            <v>ANGELA PAOLA BOLAÐOS ARGOTI</v>
          </cell>
          <cell r="G417" t="str">
            <v>ID2177823635</v>
          </cell>
        </row>
        <row r="418">
          <cell r="A418">
            <v>45568</v>
          </cell>
          <cell r="B418">
            <v>2024002029</v>
          </cell>
          <cell r="C418" t="str">
            <v>287-2024</v>
          </cell>
          <cell r="D418">
            <v>4750000</v>
          </cell>
          <cell r="E418">
            <v>87060703</v>
          </cell>
          <cell r="F418" t="str">
            <v>JESUS ARMANDO MARTÍNEZ GÓMEZ</v>
          </cell>
          <cell r="G418" t="str">
            <v>ID2177823635</v>
          </cell>
        </row>
        <row r="419">
          <cell r="A419">
            <v>45568</v>
          </cell>
          <cell r="B419">
            <v>2024002030</v>
          </cell>
          <cell r="C419" t="str">
            <v>285-2024</v>
          </cell>
          <cell r="D419">
            <v>2000000</v>
          </cell>
          <cell r="E419">
            <v>36758143</v>
          </cell>
          <cell r="F419" t="str">
            <v>LUCERITO DEL CARMEN REVELO BENAVIDES</v>
          </cell>
          <cell r="G419" t="str">
            <v>ID2177823635</v>
          </cell>
        </row>
        <row r="420">
          <cell r="A420">
            <v>45568</v>
          </cell>
          <cell r="B420">
            <v>2024002031</v>
          </cell>
          <cell r="C420" t="str">
            <v>402-2024</v>
          </cell>
          <cell r="D420">
            <v>4825600</v>
          </cell>
          <cell r="E420">
            <v>1087643211</v>
          </cell>
          <cell r="F420" t="str">
            <v>NIEVES FERNANDA AZZA ORDOÑEZ</v>
          </cell>
          <cell r="G420" t="str">
            <v>ID2177823635</v>
          </cell>
        </row>
        <row r="421">
          <cell r="A421">
            <v>45573</v>
          </cell>
          <cell r="B421">
            <v>2024002068</v>
          </cell>
          <cell r="C421" t="str">
            <v>412-2024</v>
          </cell>
          <cell r="D421">
            <v>2000000</v>
          </cell>
          <cell r="E421">
            <v>59833702</v>
          </cell>
          <cell r="F421" t="str">
            <v>AMANDA  LOPEZ HERNANDEZ</v>
          </cell>
          <cell r="G421" t="str">
            <v>ID2177823635</v>
          </cell>
        </row>
        <row r="422">
          <cell r="A422">
            <v>45573</v>
          </cell>
          <cell r="B422">
            <v>2024002069</v>
          </cell>
          <cell r="C422" t="str">
            <v>473-2024</v>
          </cell>
          <cell r="D422">
            <v>2000000</v>
          </cell>
          <cell r="E422">
            <v>30737741</v>
          </cell>
          <cell r="F422" t="str">
            <v>CLEOTILDE FLOR ALBA PIANDOY CUSIS</v>
          </cell>
          <cell r="G422" t="str">
            <v>ID2177823635</v>
          </cell>
        </row>
        <row r="423">
          <cell r="A423">
            <v>45573</v>
          </cell>
          <cell r="B423">
            <v>2024002070</v>
          </cell>
          <cell r="C423" t="str">
            <v>237-2024</v>
          </cell>
          <cell r="D423">
            <v>4825600</v>
          </cell>
          <cell r="E423">
            <v>1085269530</v>
          </cell>
          <cell r="F423" t="str">
            <v xml:space="preserve">CLARA MARIA ACOSTA </v>
          </cell>
          <cell r="G423" t="str">
            <v>ID2177823635</v>
          </cell>
        </row>
        <row r="424">
          <cell r="A424">
            <v>45573</v>
          </cell>
          <cell r="B424">
            <v>2024002071</v>
          </cell>
          <cell r="C424" t="str">
            <v>277-2024</v>
          </cell>
          <cell r="D424">
            <v>2000000</v>
          </cell>
          <cell r="E424">
            <v>1004726758</v>
          </cell>
          <cell r="F424" t="str">
            <v>NORIDA JULIETH TOBAR ARTEAGA</v>
          </cell>
          <cell r="G424" t="str">
            <v>ID2177823635</v>
          </cell>
        </row>
        <row r="425">
          <cell r="A425">
            <v>45573</v>
          </cell>
          <cell r="B425">
            <v>2024002072</v>
          </cell>
          <cell r="C425" t="str">
            <v>501-2024</v>
          </cell>
          <cell r="D425">
            <v>2000000</v>
          </cell>
          <cell r="E425">
            <v>36753698</v>
          </cell>
          <cell r="F425" t="str">
            <v>ANA MILENA JACANMIJOY TREJO</v>
          </cell>
          <cell r="G425" t="str">
            <v>ID2177823635</v>
          </cell>
        </row>
        <row r="426">
          <cell r="A426">
            <v>45573</v>
          </cell>
          <cell r="B426">
            <v>2024002074</v>
          </cell>
          <cell r="C426" t="str">
            <v>500-2024</v>
          </cell>
          <cell r="D426">
            <v>2000000</v>
          </cell>
          <cell r="E426">
            <v>1085338135</v>
          </cell>
          <cell r="F426" t="str">
            <v>NATHALIE CAROLINA ESTRADA SE LA CRUZ</v>
          </cell>
          <cell r="G426" t="str">
            <v>ID2177823635</v>
          </cell>
        </row>
        <row r="427">
          <cell r="A427">
            <v>45573</v>
          </cell>
          <cell r="B427">
            <v>2024002075</v>
          </cell>
          <cell r="C427" t="str">
            <v>400-2024</v>
          </cell>
          <cell r="D427">
            <v>2000000</v>
          </cell>
          <cell r="E427">
            <v>1144206777</v>
          </cell>
          <cell r="F427" t="str">
            <v>BRYAN ANDRES BASTIDAS RUALES</v>
          </cell>
          <cell r="G427" t="str">
            <v>ID2177823635</v>
          </cell>
        </row>
        <row r="428">
          <cell r="A428">
            <v>45573</v>
          </cell>
          <cell r="B428">
            <v>2024002076</v>
          </cell>
          <cell r="C428" t="str">
            <v>280-2024</v>
          </cell>
          <cell r="D428">
            <v>2000000</v>
          </cell>
          <cell r="E428">
            <v>1193271854</v>
          </cell>
          <cell r="F428" t="str">
            <v>JUANITA MAYLIN VELASQUEZ REVELO</v>
          </cell>
          <cell r="G428" t="str">
            <v>ID2177823635</v>
          </cell>
        </row>
        <row r="429">
          <cell r="A429">
            <v>45573</v>
          </cell>
          <cell r="B429">
            <v>2024002077</v>
          </cell>
          <cell r="C429" t="str">
            <v>201-2024</v>
          </cell>
          <cell r="D429">
            <v>2000000</v>
          </cell>
          <cell r="E429">
            <v>1085260568</v>
          </cell>
          <cell r="F429" t="str">
            <v>SONIA PATRICIA ESPANA TAPIA</v>
          </cell>
          <cell r="G429" t="str">
            <v>ID2177823635</v>
          </cell>
        </row>
        <row r="430">
          <cell r="A430">
            <v>45573</v>
          </cell>
          <cell r="B430">
            <v>2024002081</v>
          </cell>
          <cell r="C430" t="str">
            <v>396-2024</v>
          </cell>
          <cell r="D430">
            <v>4825600</v>
          </cell>
          <cell r="E430">
            <v>59314451</v>
          </cell>
          <cell r="F430" t="str">
            <v>ERIKA JOHANNA OBANDO SANTACRUZ</v>
          </cell>
          <cell r="G430" t="str">
            <v>ID2177823635</v>
          </cell>
        </row>
        <row r="431">
          <cell r="A431">
            <v>45573</v>
          </cell>
          <cell r="B431">
            <v>2024002082</v>
          </cell>
          <cell r="C431" t="str">
            <v>404-2024</v>
          </cell>
          <cell r="D431">
            <v>6000000</v>
          </cell>
          <cell r="E431">
            <v>1085292185</v>
          </cell>
          <cell r="F431" t="str">
            <v>BRIGITT MARCELA BURBANO PUPIALES</v>
          </cell>
          <cell r="G431" t="str">
            <v>ID2177823635</v>
          </cell>
        </row>
        <row r="432">
          <cell r="A432">
            <v>45573</v>
          </cell>
          <cell r="B432">
            <v>2024002083</v>
          </cell>
          <cell r="C432" t="str">
            <v>204-2024</v>
          </cell>
          <cell r="D432">
            <v>4750000</v>
          </cell>
          <cell r="E432">
            <v>36953206</v>
          </cell>
          <cell r="F432" t="str">
            <v>NATALIA ANDREA LATORRE RUANO</v>
          </cell>
          <cell r="G432" t="str">
            <v>ID2177823635</v>
          </cell>
        </row>
        <row r="433">
          <cell r="A433">
            <v>45574</v>
          </cell>
          <cell r="B433">
            <v>2024002084</v>
          </cell>
          <cell r="C433" t="str">
            <v>308-2024</v>
          </cell>
          <cell r="D433">
            <v>2000000</v>
          </cell>
          <cell r="E433">
            <v>5930737</v>
          </cell>
          <cell r="F433" t="str">
            <v>KARELIS NATALY ZHENG MONSALVE</v>
          </cell>
          <cell r="G433" t="str">
            <v>ID2177823635</v>
          </cell>
        </row>
        <row r="434">
          <cell r="A434">
            <v>45573</v>
          </cell>
          <cell r="B434">
            <v>2024002085</v>
          </cell>
          <cell r="C434" t="str">
            <v>284-2024</v>
          </cell>
          <cell r="D434">
            <v>7500000</v>
          </cell>
          <cell r="E434">
            <v>1085321192</v>
          </cell>
          <cell r="F434" t="str">
            <v>BRAYAN ANTONIO MADROÑERO QUINTERO</v>
          </cell>
          <cell r="G434" t="str">
            <v>ID2177823635</v>
          </cell>
        </row>
        <row r="435">
          <cell r="A435">
            <v>45573</v>
          </cell>
          <cell r="B435">
            <v>2024002086</v>
          </cell>
          <cell r="C435" t="str">
            <v>406-2024</v>
          </cell>
          <cell r="D435">
            <v>6000000</v>
          </cell>
          <cell r="E435">
            <v>27109314</v>
          </cell>
          <cell r="F435" t="str">
            <v>GABRIELA ALEJANDRA GUERRERO BRAVO</v>
          </cell>
          <cell r="G435" t="str">
            <v>ID2177823635</v>
          </cell>
        </row>
        <row r="436">
          <cell r="A436">
            <v>45574</v>
          </cell>
          <cell r="B436">
            <v>2024002087</v>
          </cell>
          <cell r="C436" t="str">
            <v>276-2024</v>
          </cell>
          <cell r="D436">
            <v>6000000</v>
          </cell>
          <cell r="E436">
            <v>27097289</v>
          </cell>
          <cell r="F436" t="str">
            <v>BLANCA MELVA GAVIRIA BRAVO</v>
          </cell>
          <cell r="G436" t="str">
            <v>ID2177823635</v>
          </cell>
        </row>
        <row r="437">
          <cell r="A437">
            <v>45573</v>
          </cell>
          <cell r="B437">
            <v>2024002088</v>
          </cell>
          <cell r="C437" t="str">
            <v>166-2024</v>
          </cell>
          <cell r="D437">
            <v>4750000</v>
          </cell>
          <cell r="E437">
            <v>1085325342</v>
          </cell>
          <cell r="F437" t="str">
            <v>JORGE LUIS CARVAJAL GUACHAVEZ</v>
          </cell>
          <cell r="G437" t="str">
            <v>ID2177823635</v>
          </cell>
        </row>
        <row r="438">
          <cell r="A438">
            <v>45573</v>
          </cell>
          <cell r="B438">
            <v>2024002089</v>
          </cell>
          <cell r="C438" t="str">
            <v>378-2024</v>
          </cell>
          <cell r="D438">
            <v>6000000</v>
          </cell>
          <cell r="E438">
            <v>1085337232</v>
          </cell>
          <cell r="F438" t="str">
            <v>JHON SEBASTIAN NARVAEZ DEJOY</v>
          </cell>
          <cell r="G438" t="str">
            <v>ID2177823635</v>
          </cell>
        </row>
        <row r="439">
          <cell r="A439">
            <v>45573</v>
          </cell>
          <cell r="B439">
            <v>2024002090</v>
          </cell>
          <cell r="C439" t="str">
            <v>384-2024</v>
          </cell>
          <cell r="D439">
            <v>6000000</v>
          </cell>
          <cell r="E439">
            <v>79724257</v>
          </cell>
          <cell r="F439" t="str">
            <v>LEONEL FERNANDO JOJOA JOJOA</v>
          </cell>
          <cell r="G439" t="str">
            <v>ID2177823635</v>
          </cell>
        </row>
        <row r="440">
          <cell r="A440">
            <v>45573</v>
          </cell>
          <cell r="B440">
            <v>2024002091</v>
          </cell>
          <cell r="C440" t="str">
            <v>282-2024</v>
          </cell>
          <cell r="D440">
            <v>2000000</v>
          </cell>
          <cell r="E440">
            <v>87070661</v>
          </cell>
          <cell r="F440" t="str">
            <v>EDER SHINEIDER TUTISTAR TUTISTAR</v>
          </cell>
          <cell r="G440" t="str">
            <v>ID2177823635</v>
          </cell>
        </row>
        <row r="441">
          <cell r="A441">
            <v>45573</v>
          </cell>
          <cell r="B441">
            <v>2024002092</v>
          </cell>
          <cell r="C441" t="str">
            <v>415-2024</v>
          </cell>
          <cell r="D441">
            <v>7500000</v>
          </cell>
          <cell r="E441">
            <v>1151934571</v>
          </cell>
          <cell r="F441" t="str">
            <v>ANGELA MARCELA OBANDO BASTIDAS</v>
          </cell>
          <cell r="G441" t="str">
            <v>ID2177823635</v>
          </cell>
        </row>
        <row r="442">
          <cell r="A442">
            <v>45573</v>
          </cell>
          <cell r="B442">
            <v>2024002094</v>
          </cell>
          <cell r="C442" t="str">
            <v>418-2024</v>
          </cell>
          <cell r="D442">
            <v>7500000</v>
          </cell>
          <cell r="E442">
            <v>12961407</v>
          </cell>
          <cell r="F442" t="str">
            <v>FRANCO JESUS RODRIGUEZ ARAUJO</v>
          </cell>
          <cell r="G442" t="str">
            <v>ID2177823635</v>
          </cell>
        </row>
        <row r="443">
          <cell r="A443">
            <v>45574</v>
          </cell>
          <cell r="B443">
            <v>2024002114</v>
          </cell>
          <cell r="C443" t="str">
            <v>286-2024</v>
          </cell>
          <cell r="D443">
            <v>4750000</v>
          </cell>
          <cell r="E443">
            <v>1193383306</v>
          </cell>
          <cell r="F443" t="str">
            <v>MARIA  DE LOS ANGELES ACOSTA ROSERO</v>
          </cell>
          <cell r="G443" t="str">
            <v>ID2177823635</v>
          </cell>
        </row>
        <row r="444">
          <cell r="A444">
            <v>45574</v>
          </cell>
          <cell r="B444">
            <v>2024002115</v>
          </cell>
          <cell r="C444" t="str">
            <v>272-2024</v>
          </cell>
          <cell r="D444">
            <v>2000000</v>
          </cell>
          <cell r="E444">
            <v>1081592303</v>
          </cell>
          <cell r="F444" t="str">
            <v>MARILIN  ZAMBRANO OBANDO</v>
          </cell>
          <cell r="G444" t="str">
            <v>ID2177823635</v>
          </cell>
        </row>
        <row r="445">
          <cell r="A445">
            <v>45574</v>
          </cell>
          <cell r="B445">
            <v>2024002116</v>
          </cell>
          <cell r="C445" t="str">
            <v>319-2024</v>
          </cell>
          <cell r="D445">
            <v>7500000</v>
          </cell>
          <cell r="E445">
            <v>1006946167</v>
          </cell>
          <cell r="F445" t="str">
            <v>LIZETH MARCELA ORTÌZ MUÑOZ</v>
          </cell>
          <cell r="G445" t="str">
            <v>ID2177823635</v>
          </cell>
        </row>
        <row r="446">
          <cell r="A446">
            <v>45574</v>
          </cell>
          <cell r="B446">
            <v>2024002117</v>
          </cell>
          <cell r="C446" t="str">
            <v>262-2024</v>
          </cell>
          <cell r="D446">
            <v>2000000</v>
          </cell>
          <cell r="E446">
            <v>1085338575</v>
          </cell>
          <cell r="F446" t="str">
            <v>RAFAEL ARLEY ROSERO PINZA</v>
          </cell>
          <cell r="G446" t="str">
            <v>ID2177823635</v>
          </cell>
        </row>
        <row r="447">
          <cell r="A447">
            <v>45574</v>
          </cell>
          <cell r="B447">
            <v>2024002118</v>
          </cell>
          <cell r="C447" t="str">
            <v>413-2024</v>
          </cell>
          <cell r="D447">
            <v>2000000</v>
          </cell>
          <cell r="E447">
            <v>59310524</v>
          </cell>
          <cell r="F447" t="str">
            <v>MAIGUAL MUÑOZ MARIBEL DEL CARMEN</v>
          </cell>
          <cell r="G447" t="str">
            <v>ID2177823635</v>
          </cell>
        </row>
        <row r="448">
          <cell r="A448">
            <v>45576</v>
          </cell>
          <cell r="B448">
            <v>2024002119</v>
          </cell>
          <cell r="C448" t="str">
            <v>384-2024</v>
          </cell>
          <cell r="D448">
            <v>6000000</v>
          </cell>
          <cell r="E448">
            <v>79724257</v>
          </cell>
          <cell r="F448" t="str">
            <v>LEONEL FERNANDO JOJOA JOJOA</v>
          </cell>
          <cell r="G448" t="str">
            <v>ID2177823635</v>
          </cell>
        </row>
        <row r="449">
          <cell r="A449">
            <v>45575</v>
          </cell>
          <cell r="B449">
            <v>2024002126</v>
          </cell>
          <cell r="C449" t="str">
            <v>265-2024</v>
          </cell>
          <cell r="D449">
            <v>38264100</v>
          </cell>
          <cell r="E449">
            <v>900633448</v>
          </cell>
          <cell r="F449" t="str">
            <v>EXPRESO SURAMERICANA DE TURISMO SAS</v>
          </cell>
          <cell r="G449" t="str">
            <v>ID2177823635</v>
          </cell>
        </row>
        <row r="450">
          <cell r="A450">
            <v>45576</v>
          </cell>
          <cell r="B450">
            <v>2024002130</v>
          </cell>
          <cell r="C450" t="str">
            <v>279-2024</v>
          </cell>
          <cell r="D450">
            <v>2000000</v>
          </cell>
          <cell r="E450">
            <v>59178610</v>
          </cell>
          <cell r="F450" t="str">
            <v>MONICA PATRICIA PANTOJA DUEÑAS</v>
          </cell>
          <cell r="G450" t="str">
            <v>ID2177823635</v>
          </cell>
        </row>
        <row r="451">
          <cell r="A451">
            <v>45576</v>
          </cell>
          <cell r="B451">
            <v>2024002131</v>
          </cell>
          <cell r="C451" t="str">
            <v>375-2024</v>
          </cell>
          <cell r="D451">
            <v>4750000</v>
          </cell>
          <cell r="E451">
            <v>1087422930</v>
          </cell>
          <cell r="F451" t="str">
            <v>MARIA FERNANDA SANCHEZ CARDENAS</v>
          </cell>
          <cell r="G451" t="str">
            <v>ID2177823635</v>
          </cell>
        </row>
        <row r="452">
          <cell r="A452">
            <v>45576</v>
          </cell>
          <cell r="B452">
            <v>2024002132</v>
          </cell>
          <cell r="C452" t="str">
            <v>261-2024</v>
          </cell>
          <cell r="D452">
            <v>4825600</v>
          </cell>
          <cell r="E452">
            <v>1085289739</v>
          </cell>
          <cell r="F452" t="str">
            <v>YULY LORENA CABRERA DELGADO</v>
          </cell>
          <cell r="G452" t="str">
            <v>ID2177823635</v>
          </cell>
        </row>
        <row r="453">
          <cell r="A453">
            <v>45580</v>
          </cell>
          <cell r="B453">
            <v>2024002136</v>
          </cell>
          <cell r="C453" t="str">
            <v>271-2024</v>
          </cell>
          <cell r="D453">
            <v>2000000</v>
          </cell>
          <cell r="E453">
            <v>59813323</v>
          </cell>
          <cell r="F453" t="str">
            <v>GARCIA JOJOA EDITH CRISTINA</v>
          </cell>
          <cell r="G453" t="str">
            <v>ID2177823635</v>
          </cell>
        </row>
        <row r="454">
          <cell r="A454">
            <v>45580</v>
          </cell>
          <cell r="B454">
            <v>2024002137</v>
          </cell>
          <cell r="C454" t="str">
            <v>408-2024</v>
          </cell>
          <cell r="D454">
            <v>6000000</v>
          </cell>
          <cell r="E454">
            <v>1085246134</v>
          </cell>
          <cell r="F454" t="str">
            <v>DIANA CAROLINA ROSERO CONCHA</v>
          </cell>
          <cell r="G454" t="str">
            <v>ID2177823635</v>
          </cell>
        </row>
        <row r="455">
          <cell r="A455">
            <v>45582</v>
          </cell>
          <cell r="B455">
            <v>2024002143</v>
          </cell>
          <cell r="C455" t="str">
            <v>551-2024</v>
          </cell>
          <cell r="D455">
            <v>7500000</v>
          </cell>
          <cell r="E455">
            <v>1193279435</v>
          </cell>
          <cell r="F455" t="str">
            <v>ANGELA SOFIA ORDOÑEZ BENAVIDES</v>
          </cell>
          <cell r="G455" t="str">
            <v>ID2177823635</v>
          </cell>
        </row>
        <row r="456">
          <cell r="A456">
            <v>45582</v>
          </cell>
          <cell r="B456">
            <v>2024002144</v>
          </cell>
          <cell r="C456" t="str">
            <v>389-2024</v>
          </cell>
          <cell r="D456">
            <v>6000000</v>
          </cell>
          <cell r="E456">
            <v>1085248939</v>
          </cell>
          <cell r="F456" t="str">
            <v>CARMEN LILIANA ARMERO RUIZ</v>
          </cell>
          <cell r="G456" t="str">
            <v>ID2177823635</v>
          </cell>
        </row>
        <row r="457">
          <cell r="A457">
            <v>45582</v>
          </cell>
          <cell r="B457">
            <v>2024002145</v>
          </cell>
          <cell r="C457" t="str">
            <v>389-2024</v>
          </cell>
          <cell r="D457">
            <v>6000000</v>
          </cell>
          <cell r="E457">
            <v>1085248939</v>
          </cell>
          <cell r="F457" t="str">
            <v>CARMEN LILIANA ARMERO RUIZ</v>
          </cell>
          <cell r="G457" t="str">
            <v>ID2177823635</v>
          </cell>
        </row>
        <row r="458">
          <cell r="A458">
            <v>45582</v>
          </cell>
          <cell r="B458">
            <v>2024002146</v>
          </cell>
          <cell r="C458" t="str">
            <v>389-2024</v>
          </cell>
          <cell r="D458">
            <v>6000000</v>
          </cell>
          <cell r="E458">
            <v>1085248939</v>
          </cell>
          <cell r="F458" t="str">
            <v>CARMEN LILIANA ARMERO RUIZ</v>
          </cell>
          <cell r="G458" t="str">
            <v>ID2177823635</v>
          </cell>
        </row>
        <row r="459">
          <cell r="A459">
            <v>45582</v>
          </cell>
          <cell r="B459">
            <v>2024002147</v>
          </cell>
          <cell r="C459" t="str">
            <v>385-2024</v>
          </cell>
          <cell r="D459">
            <v>7500000</v>
          </cell>
          <cell r="E459">
            <v>1085345430</v>
          </cell>
          <cell r="F459" t="str">
            <v>MARIA CAMILA PAZ ARCOS</v>
          </cell>
          <cell r="G459" t="str">
            <v>ID2177823635</v>
          </cell>
        </row>
        <row r="460">
          <cell r="A460">
            <v>45582</v>
          </cell>
          <cell r="B460">
            <v>2024002148</v>
          </cell>
          <cell r="C460" t="str">
            <v>283-2024</v>
          </cell>
          <cell r="D460">
            <v>2000000</v>
          </cell>
          <cell r="E460">
            <v>1014857280</v>
          </cell>
          <cell r="F460" t="str">
            <v>LAURA VALENTINA PASCUAZA YUCUMA</v>
          </cell>
          <cell r="G460" t="str">
            <v>ID2177823635</v>
          </cell>
        </row>
        <row r="461">
          <cell r="A461">
            <v>45582</v>
          </cell>
          <cell r="B461">
            <v>2024002153</v>
          </cell>
          <cell r="C461" t="str">
            <v>194-2024</v>
          </cell>
          <cell r="D461">
            <v>2000000</v>
          </cell>
          <cell r="E461">
            <v>1004508436</v>
          </cell>
          <cell r="F461" t="str">
            <v>VALERIA FERNANDA CUASQUER CANTUCA</v>
          </cell>
          <cell r="G461" t="str">
            <v>ID2177823635</v>
          </cell>
        </row>
        <row r="462">
          <cell r="A462">
            <v>45582</v>
          </cell>
          <cell r="B462">
            <v>2024002154</v>
          </cell>
          <cell r="C462" t="str">
            <v>264-2024</v>
          </cell>
          <cell r="D462">
            <v>2000000</v>
          </cell>
          <cell r="E462">
            <v>1085325718</v>
          </cell>
          <cell r="F462" t="str">
            <v>JUAN FERNANDO ZARAMA SILVA</v>
          </cell>
          <cell r="G462" t="str">
            <v>ID2177823635</v>
          </cell>
        </row>
        <row r="463">
          <cell r="A463">
            <v>45587</v>
          </cell>
          <cell r="B463">
            <v>2024002211</v>
          </cell>
          <cell r="C463" t="str">
            <v>477-2024</v>
          </cell>
          <cell r="D463">
            <v>733333.33</v>
          </cell>
          <cell r="E463">
            <v>1081052552</v>
          </cell>
          <cell r="F463" t="str">
            <v>ANGELA SOFIA CHACHINOY ALVAREZ</v>
          </cell>
          <cell r="G463" t="str">
            <v>ID2177823635</v>
          </cell>
        </row>
        <row r="464">
          <cell r="A464">
            <v>45588</v>
          </cell>
          <cell r="B464">
            <v>2024002213</v>
          </cell>
          <cell r="C464" t="str">
            <v>322-2024</v>
          </cell>
          <cell r="D464">
            <v>2000000</v>
          </cell>
          <cell r="E464">
            <v>1086362994</v>
          </cell>
          <cell r="F464" t="str">
            <v>SARA  VICTORIA ALVAREZ FIGUEROA</v>
          </cell>
          <cell r="G464" t="str">
            <v>ID2177823635</v>
          </cell>
        </row>
        <row r="465">
          <cell r="A465">
            <v>45594</v>
          </cell>
          <cell r="B465">
            <v>2024002292</v>
          </cell>
          <cell r="C465" t="str">
            <v>704-2024</v>
          </cell>
          <cell r="D465">
            <v>106805500</v>
          </cell>
          <cell r="E465">
            <v>900994364</v>
          </cell>
          <cell r="F465" t="str">
            <v>FUNDACIÓN CALIDAD DE VIDA Y ESPERANZA</v>
          </cell>
          <cell r="G465" t="str">
            <v>ID2177823635</v>
          </cell>
        </row>
        <row r="466">
          <cell r="A466">
            <v>45595</v>
          </cell>
          <cell r="B466">
            <v>2024002306</v>
          </cell>
          <cell r="C466" t="str">
            <v>250-2024</v>
          </cell>
          <cell r="D466">
            <v>2000000</v>
          </cell>
          <cell r="E466">
            <v>1085324107</v>
          </cell>
          <cell r="F466" t="str">
            <v>CAROLINA  NASTACUAS PAI</v>
          </cell>
          <cell r="G466" t="str">
            <v>ID2177823635</v>
          </cell>
        </row>
        <row r="467">
          <cell r="A467">
            <v>45595</v>
          </cell>
          <cell r="B467">
            <v>2024002307</v>
          </cell>
          <cell r="C467" t="str">
            <v>250-2024</v>
          </cell>
          <cell r="D467">
            <v>1000000</v>
          </cell>
          <cell r="E467">
            <v>1085324107</v>
          </cell>
          <cell r="F467" t="str">
            <v>CAROLINA  NASTACUAS PAI</v>
          </cell>
          <cell r="G467" t="str">
            <v>ID2177823635</v>
          </cell>
        </row>
        <row r="468">
          <cell r="A468">
            <v>45447</v>
          </cell>
          <cell r="B468">
            <v>2024000669</v>
          </cell>
          <cell r="C468" t="str">
            <v>168-2024</v>
          </cell>
          <cell r="D468">
            <v>2000000</v>
          </cell>
          <cell r="E468">
            <v>27087122</v>
          </cell>
          <cell r="F468" t="str">
            <v>MARITZA ROCIO OLIVA CUZ</v>
          </cell>
          <cell r="G468" t="str">
            <v>ID2177823635</v>
          </cell>
        </row>
        <row r="469">
          <cell r="A469">
            <v>45448</v>
          </cell>
          <cell r="B469">
            <v>2024000675</v>
          </cell>
          <cell r="C469" t="str">
            <v>170-2024</v>
          </cell>
          <cell r="D469">
            <v>4825600</v>
          </cell>
          <cell r="E469">
            <v>37082349</v>
          </cell>
          <cell r="F469" t="str">
            <v>PAULA XIMENA CHÁVES PASMIÑO</v>
          </cell>
          <cell r="G469" t="str">
            <v>ID2177823635</v>
          </cell>
        </row>
        <row r="470">
          <cell r="A470">
            <v>45448</v>
          </cell>
          <cell r="B470">
            <v>2024000676</v>
          </cell>
          <cell r="C470" t="str">
            <v>156-2024</v>
          </cell>
          <cell r="D470">
            <v>7500000</v>
          </cell>
          <cell r="E470">
            <v>1085332934</v>
          </cell>
          <cell r="F470" t="str">
            <v>NELLY VANESSA ORDOÑEZ BASTIDAS</v>
          </cell>
          <cell r="G470" t="str">
            <v>ID2177823635</v>
          </cell>
        </row>
        <row r="471">
          <cell r="A471">
            <v>45448</v>
          </cell>
          <cell r="B471">
            <v>2024000677</v>
          </cell>
          <cell r="C471" t="str">
            <v>163-2024</v>
          </cell>
          <cell r="D471">
            <v>2000000</v>
          </cell>
          <cell r="E471">
            <v>59834953</v>
          </cell>
          <cell r="F471" t="str">
            <v>PATRICIA YOLANDA PAZ  DELGADO</v>
          </cell>
          <cell r="G471" t="str">
            <v>ID2177823635</v>
          </cell>
        </row>
        <row r="472">
          <cell r="A472">
            <v>45448</v>
          </cell>
          <cell r="B472">
            <v>2024000678</v>
          </cell>
          <cell r="C472" t="str">
            <v>153-2024</v>
          </cell>
          <cell r="D472">
            <v>7500000</v>
          </cell>
          <cell r="E472">
            <v>1085320661</v>
          </cell>
          <cell r="F472" t="str">
            <v>JHEIBER BRANLLERT DULCE MUÑOZ</v>
          </cell>
          <cell r="G472" t="str">
            <v>ID2177823635</v>
          </cell>
        </row>
        <row r="473">
          <cell r="A473">
            <v>45448</v>
          </cell>
          <cell r="B473">
            <v>2024000679</v>
          </cell>
          <cell r="C473" t="str">
            <v>192-2024</v>
          </cell>
          <cell r="D473">
            <v>2000000</v>
          </cell>
          <cell r="E473">
            <v>1085250095</v>
          </cell>
          <cell r="F473" t="str">
            <v>LIDIA JIMENA RODRIGUEZ LOZA</v>
          </cell>
          <cell r="G473" t="str">
            <v>ID2177823635</v>
          </cell>
        </row>
        <row r="474">
          <cell r="A474">
            <v>45448</v>
          </cell>
          <cell r="B474">
            <v>2024000681</v>
          </cell>
          <cell r="C474" t="str">
            <v>175-2024</v>
          </cell>
          <cell r="D474">
            <v>2000000</v>
          </cell>
          <cell r="E474">
            <v>1085318688</v>
          </cell>
          <cell r="F474" t="str">
            <v>DARLLY ROXANA ROSERO TIMARÁN</v>
          </cell>
          <cell r="G474" t="str">
            <v>ID2177823635</v>
          </cell>
        </row>
        <row r="475">
          <cell r="A475">
            <v>45448</v>
          </cell>
          <cell r="B475">
            <v>2024000682</v>
          </cell>
          <cell r="C475" t="str">
            <v>183-2024</v>
          </cell>
          <cell r="D475">
            <v>6000000</v>
          </cell>
          <cell r="E475">
            <v>36951002</v>
          </cell>
          <cell r="F475" t="str">
            <v>NANCY VISITACIÓN CHAMORRO GUAICHAR</v>
          </cell>
          <cell r="G475" t="str">
            <v>ID2177823635</v>
          </cell>
        </row>
        <row r="476">
          <cell r="A476">
            <v>45448</v>
          </cell>
          <cell r="B476">
            <v>2024000683</v>
          </cell>
          <cell r="C476" t="str">
            <v>146-2024</v>
          </cell>
          <cell r="D476">
            <v>2000000</v>
          </cell>
          <cell r="E476">
            <v>1085302942</v>
          </cell>
          <cell r="F476" t="str">
            <v>MARIA CAMILA PAREDEZ TIMANA</v>
          </cell>
          <cell r="G476" t="str">
            <v>ID2177823635</v>
          </cell>
        </row>
        <row r="477">
          <cell r="A477">
            <v>45448</v>
          </cell>
          <cell r="B477">
            <v>2024000684</v>
          </cell>
          <cell r="C477" t="str">
            <v>174-2024</v>
          </cell>
          <cell r="D477">
            <v>2000000</v>
          </cell>
          <cell r="E477">
            <v>1004410201</v>
          </cell>
          <cell r="F477" t="str">
            <v>JAIRO  ALBERTO MAIGUAL MIRAMAG</v>
          </cell>
          <cell r="G477" t="str">
            <v>ID2177823635</v>
          </cell>
        </row>
        <row r="478">
          <cell r="A478">
            <v>45448</v>
          </cell>
          <cell r="B478">
            <v>2024000685</v>
          </cell>
          <cell r="C478" t="str">
            <v>178-2024</v>
          </cell>
          <cell r="D478">
            <v>2000000</v>
          </cell>
          <cell r="E478">
            <v>1007356378</v>
          </cell>
          <cell r="F478" t="str">
            <v>NAYIBI JANED MELO DELGADO</v>
          </cell>
          <cell r="G478" t="str">
            <v>ID2177823635</v>
          </cell>
        </row>
        <row r="479">
          <cell r="A479">
            <v>45448</v>
          </cell>
          <cell r="B479">
            <v>2024000686</v>
          </cell>
          <cell r="C479" t="str">
            <v>165-2024</v>
          </cell>
          <cell r="D479">
            <v>2000000</v>
          </cell>
          <cell r="E479">
            <v>1085286725</v>
          </cell>
          <cell r="F479" t="str">
            <v>DIANA CAROLINA ORTEGA CAICEDO</v>
          </cell>
          <cell r="G479" t="str">
            <v>ID2177823635</v>
          </cell>
        </row>
        <row r="480">
          <cell r="A480">
            <v>45448</v>
          </cell>
          <cell r="B480">
            <v>2024000687</v>
          </cell>
          <cell r="C480" t="str">
            <v>185-2024</v>
          </cell>
          <cell r="D480">
            <v>2000000</v>
          </cell>
          <cell r="E480">
            <v>1193224810</v>
          </cell>
          <cell r="F480" t="str">
            <v>EVELYN  FERNANDA ACOSTA CHICAIZA</v>
          </cell>
          <cell r="G480" t="str">
            <v>ID2177823635</v>
          </cell>
        </row>
        <row r="481">
          <cell r="A481">
            <v>45449</v>
          </cell>
          <cell r="B481">
            <v>2024000705</v>
          </cell>
          <cell r="C481" t="str">
            <v>145-2024</v>
          </cell>
          <cell r="D481">
            <v>2000000</v>
          </cell>
          <cell r="E481">
            <v>1030606749</v>
          </cell>
          <cell r="F481" t="str">
            <v>ANGELA EDITH GONZALEZ PIANDA</v>
          </cell>
          <cell r="G481" t="str">
            <v>ID2177823635</v>
          </cell>
        </row>
        <row r="482">
          <cell r="A482">
            <v>45449</v>
          </cell>
          <cell r="B482">
            <v>2024000706</v>
          </cell>
          <cell r="C482" t="str">
            <v>164-2024</v>
          </cell>
          <cell r="D482">
            <v>4825600</v>
          </cell>
          <cell r="E482">
            <v>1085291221</v>
          </cell>
          <cell r="F482" t="str">
            <v>ELIZABETH ALEJANDRA TOBAR MORAN</v>
          </cell>
          <cell r="G482" t="str">
            <v>ID2177823635</v>
          </cell>
        </row>
        <row r="483">
          <cell r="A483">
            <v>45449</v>
          </cell>
          <cell r="B483">
            <v>2024000712</v>
          </cell>
          <cell r="C483" t="str">
            <v>189-2024</v>
          </cell>
          <cell r="D483">
            <v>2000000</v>
          </cell>
          <cell r="E483">
            <v>59837416</v>
          </cell>
          <cell r="F483" t="str">
            <v>RUTH INGRITH DIAZ VALERO</v>
          </cell>
          <cell r="G483" t="str">
            <v>ID2177823635</v>
          </cell>
        </row>
        <row r="484">
          <cell r="A484">
            <v>45449</v>
          </cell>
          <cell r="B484">
            <v>2024000713</v>
          </cell>
          <cell r="C484" t="str">
            <v>150-2024</v>
          </cell>
          <cell r="D484">
            <v>2000000</v>
          </cell>
          <cell r="E484">
            <v>1004635031</v>
          </cell>
          <cell r="F484" t="str">
            <v>ASTRID CAROLINA CAICEDO LUNA</v>
          </cell>
          <cell r="G484" t="str">
            <v>ID2177823635</v>
          </cell>
        </row>
        <row r="485">
          <cell r="A485">
            <v>45450</v>
          </cell>
          <cell r="B485">
            <v>2024000714</v>
          </cell>
          <cell r="C485" t="str">
            <v>179-2024</v>
          </cell>
          <cell r="D485">
            <v>4750000</v>
          </cell>
          <cell r="E485">
            <v>59816986</v>
          </cell>
          <cell r="F485" t="str">
            <v>INÉS MERCEDES LÓPEZ TORRES</v>
          </cell>
          <cell r="G485" t="str">
            <v>ID2177823635</v>
          </cell>
        </row>
        <row r="486">
          <cell r="A486">
            <v>45450</v>
          </cell>
          <cell r="B486">
            <v>2024000715</v>
          </cell>
          <cell r="C486" t="str">
            <v>199-2024</v>
          </cell>
          <cell r="D486">
            <v>7500000</v>
          </cell>
          <cell r="E486">
            <v>1085304670</v>
          </cell>
          <cell r="F486" t="str">
            <v>PAOLA ANDREA VELEZ BOLAÑOS</v>
          </cell>
          <cell r="G486" t="str">
            <v>ID2177823635</v>
          </cell>
        </row>
        <row r="487">
          <cell r="A487">
            <v>45450</v>
          </cell>
          <cell r="B487">
            <v>2024000716</v>
          </cell>
          <cell r="C487" t="str">
            <v>218-2024</v>
          </cell>
          <cell r="D487">
            <v>7500000</v>
          </cell>
          <cell r="E487">
            <v>80765093</v>
          </cell>
          <cell r="F487" t="str">
            <v>FRANCISCO  RAFAEL ORTÍZ BENÌTEZ</v>
          </cell>
          <cell r="G487" t="str">
            <v>ID2177823635</v>
          </cell>
        </row>
        <row r="488">
          <cell r="A488">
            <v>45450</v>
          </cell>
          <cell r="B488">
            <v>2024000717</v>
          </cell>
          <cell r="C488" t="str">
            <v>213-2024</v>
          </cell>
          <cell r="D488">
            <v>6000000</v>
          </cell>
          <cell r="E488">
            <v>59837608</v>
          </cell>
          <cell r="F488" t="str">
            <v>ALBA DENIS ARGOTY SANTACRUZ</v>
          </cell>
          <cell r="G488" t="str">
            <v>ID2177823635</v>
          </cell>
        </row>
        <row r="489">
          <cell r="A489">
            <v>45450</v>
          </cell>
          <cell r="B489">
            <v>2024000718</v>
          </cell>
          <cell r="C489" t="str">
            <v>152-2024</v>
          </cell>
          <cell r="D489">
            <v>4750000</v>
          </cell>
          <cell r="E489">
            <v>1085260497</v>
          </cell>
          <cell r="F489" t="str">
            <v>JOSE FERNANDO CHAÑA QUENGUAN</v>
          </cell>
          <cell r="G489" t="str">
            <v>ID2177823635</v>
          </cell>
        </row>
        <row r="490">
          <cell r="A490">
            <v>45450</v>
          </cell>
          <cell r="B490">
            <v>2024000721</v>
          </cell>
          <cell r="C490" t="str">
            <v>151-2024</v>
          </cell>
          <cell r="D490">
            <v>2000000</v>
          </cell>
          <cell r="E490">
            <v>1004234290</v>
          </cell>
          <cell r="F490" t="str">
            <v>LAURA  SOFIA ROSERO DAVID</v>
          </cell>
          <cell r="G490" t="str">
            <v>ID2177823635</v>
          </cell>
        </row>
        <row r="491">
          <cell r="A491">
            <v>45450</v>
          </cell>
          <cell r="B491">
            <v>2024000722</v>
          </cell>
          <cell r="C491" t="str">
            <v>200-2024</v>
          </cell>
          <cell r="D491">
            <v>4825600</v>
          </cell>
          <cell r="E491">
            <v>1085332406</v>
          </cell>
          <cell r="F491" t="str">
            <v>MERCY LORENA SACANAMBUY LOPEZ</v>
          </cell>
          <cell r="G491" t="str">
            <v>ID2177823635</v>
          </cell>
        </row>
        <row r="492">
          <cell r="A492">
            <v>45450</v>
          </cell>
          <cell r="B492">
            <v>2024000723</v>
          </cell>
          <cell r="C492" t="str">
            <v>171-2024</v>
          </cell>
          <cell r="D492">
            <v>2000000</v>
          </cell>
          <cell r="E492">
            <v>1085288636</v>
          </cell>
          <cell r="F492" t="str">
            <v>DIANA SOFIA AYALA DIAZ</v>
          </cell>
          <cell r="G492" t="str">
            <v>ID2177823635</v>
          </cell>
        </row>
        <row r="493">
          <cell r="A493">
            <v>45454</v>
          </cell>
          <cell r="B493">
            <v>2024000747</v>
          </cell>
          <cell r="C493" t="str">
            <v>201-2024</v>
          </cell>
          <cell r="D493">
            <v>2000000</v>
          </cell>
          <cell r="E493">
            <v>1085260568</v>
          </cell>
          <cell r="F493" t="str">
            <v>SONIA PATRICIA ESPANA TAPIA</v>
          </cell>
          <cell r="G493" t="str">
            <v>ID2177823635</v>
          </cell>
        </row>
        <row r="494">
          <cell r="A494">
            <v>45454</v>
          </cell>
          <cell r="B494">
            <v>2024000749</v>
          </cell>
          <cell r="C494" t="str">
            <v>169-2024</v>
          </cell>
          <cell r="D494">
            <v>7500000</v>
          </cell>
          <cell r="E494">
            <v>1088599676</v>
          </cell>
          <cell r="F494" t="str">
            <v>DANIEL GERARDO ERAZO OVIEDO</v>
          </cell>
          <cell r="G494" t="str">
            <v>ID2177823635</v>
          </cell>
        </row>
        <row r="495">
          <cell r="A495">
            <v>45454</v>
          </cell>
          <cell r="B495">
            <v>2024000750</v>
          </cell>
          <cell r="C495" t="str">
            <v>161-2024</v>
          </cell>
          <cell r="D495">
            <v>4825600</v>
          </cell>
          <cell r="E495">
            <v>1193385736</v>
          </cell>
          <cell r="F495" t="str">
            <v>JHONNY  ALEXANDER SEPULVEDA DUERO</v>
          </cell>
          <cell r="G495" t="str">
            <v>ID2177823635</v>
          </cell>
        </row>
        <row r="496">
          <cell r="A496">
            <v>45454</v>
          </cell>
          <cell r="B496">
            <v>2024000759</v>
          </cell>
          <cell r="C496" t="str">
            <v>177-2024</v>
          </cell>
          <cell r="D496">
            <v>2000000</v>
          </cell>
          <cell r="E496">
            <v>37084285</v>
          </cell>
          <cell r="F496" t="str">
            <v>JULIE ANDREA FREIRE MIER</v>
          </cell>
          <cell r="G496" t="str">
            <v>ID2177823635</v>
          </cell>
        </row>
        <row r="497">
          <cell r="A497">
            <v>45454</v>
          </cell>
          <cell r="B497">
            <v>2024000761</v>
          </cell>
          <cell r="C497" t="str">
            <v>220-2024</v>
          </cell>
          <cell r="D497">
            <v>4825600</v>
          </cell>
          <cell r="E497">
            <v>1085283723</v>
          </cell>
          <cell r="F497" t="str">
            <v>DANIEL  ALEJANDRO ESCOBAR  ANDRADE</v>
          </cell>
          <cell r="G497" t="str">
            <v>ID2177823635</v>
          </cell>
        </row>
        <row r="498">
          <cell r="A498">
            <v>45454</v>
          </cell>
          <cell r="B498">
            <v>2024000762</v>
          </cell>
          <cell r="C498" t="str">
            <v>162-2024</v>
          </cell>
          <cell r="D498">
            <v>2000000</v>
          </cell>
          <cell r="E498">
            <v>1085327701</v>
          </cell>
          <cell r="F498" t="str">
            <v>MARIA JOSE LEITON ZUTTA</v>
          </cell>
          <cell r="G498" t="str">
            <v>ID2177823635</v>
          </cell>
        </row>
        <row r="499">
          <cell r="A499">
            <v>45454</v>
          </cell>
          <cell r="B499">
            <v>2024000763</v>
          </cell>
          <cell r="C499" t="str">
            <v>242-2024</v>
          </cell>
          <cell r="D499">
            <v>2000000</v>
          </cell>
          <cell r="E499">
            <v>1010085543</v>
          </cell>
          <cell r="F499" t="str">
            <v>DANIELA VANESA MONTANCHEZ GOMAJOA</v>
          </cell>
          <cell r="G499" t="str">
            <v>ID2177823635</v>
          </cell>
        </row>
        <row r="500">
          <cell r="A500">
            <v>45454</v>
          </cell>
          <cell r="B500">
            <v>2024000760</v>
          </cell>
          <cell r="C500" t="str">
            <v>204-2024</v>
          </cell>
          <cell r="D500">
            <v>4750000</v>
          </cell>
          <cell r="E500">
            <v>36953206</v>
          </cell>
          <cell r="F500" t="str">
            <v>NATALIA ANDREA LATORRE RUANO</v>
          </cell>
          <cell r="G500" t="str">
            <v>ID2177823635</v>
          </cell>
        </row>
        <row r="501">
          <cell r="A501">
            <v>45454</v>
          </cell>
          <cell r="B501">
            <v>2024000753</v>
          </cell>
          <cell r="C501" t="str">
            <v>211-2024</v>
          </cell>
          <cell r="D501">
            <v>64141827</v>
          </cell>
          <cell r="E501">
            <v>900994364</v>
          </cell>
          <cell r="F501" t="str">
            <v>FUNDACIÓN CALIDAD DE VIDA Y ESPERANZA</v>
          </cell>
          <cell r="G501" t="str">
            <v>ID2177823635</v>
          </cell>
        </row>
        <row r="502">
          <cell r="A502">
            <v>45455</v>
          </cell>
          <cell r="B502">
            <v>2024000764</v>
          </cell>
          <cell r="C502" t="str">
            <v>186-2024</v>
          </cell>
          <cell r="D502">
            <v>4825600</v>
          </cell>
          <cell r="E502">
            <v>87062845</v>
          </cell>
          <cell r="F502" t="str">
            <v>EDMER LEONARDO RUALES AYALA</v>
          </cell>
          <cell r="G502" t="str">
            <v>ID2177823635</v>
          </cell>
        </row>
        <row r="503">
          <cell r="A503">
            <v>45455</v>
          </cell>
          <cell r="B503">
            <v>2024000765</v>
          </cell>
          <cell r="C503" t="str">
            <v>182-2024</v>
          </cell>
          <cell r="D503">
            <v>2000000</v>
          </cell>
          <cell r="E503">
            <v>1085344082</v>
          </cell>
          <cell r="F503" t="str">
            <v>NATALIA LIZETH AGUIRRE SALAZAR</v>
          </cell>
          <cell r="G503" t="str">
            <v>ID2177823635</v>
          </cell>
        </row>
        <row r="504">
          <cell r="A504">
            <v>45455</v>
          </cell>
          <cell r="B504">
            <v>2024000766</v>
          </cell>
          <cell r="C504" t="str">
            <v>193-2024</v>
          </cell>
          <cell r="D504">
            <v>4825600</v>
          </cell>
          <cell r="E504">
            <v>30733517</v>
          </cell>
          <cell r="F504" t="str">
            <v>CARMEN  LILIANA ARCINIEGAS LÒPEZ</v>
          </cell>
          <cell r="G504" t="str">
            <v>ID2177823635</v>
          </cell>
        </row>
        <row r="505">
          <cell r="A505">
            <v>45455</v>
          </cell>
          <cell r="B505">
            <v>2024000768</v>
          </cell>
          <cell r="C505" t="str">
            <v>154-2024</v>
          </cell>
          <cell r="D505">
            <v>4750000</v>
          </cell>
          <cell r="E505">
            <v>59821282</v>
          </cell>
          <cell r="F505" t="str">
            <v>XIMENA DEL ROSARIO LOPEZ MAYA</v>
          </cell>
          <cell r="G505" t="str">
            <v>ID2177823635</v>
          </cell>
        </row>
        <row r="506">
          <cell r="A506">
            <v>45455</v>
          </cell>
          <cell r="B506">
            <v>2024000769</v>
          </cell>
          <cell r="C506" t="str">
            <v>205-2024</v>
          </cell>
          <cell r="D506">
            <v>4825600</v>
          </cell>
          <cell r="E506">
            <v>27087851</v>
          </cell>
          <cell r="F506" t="str">
            <v>ADRIANA YORLADY ARMERO BURBANO</v>
          </cell>
          <cell r="G506" t="str">
            <v>ID2177823635</v>
          </cell>
        </row>
        <row r="507">
          <cell r="A507">
            <v>45455</v>
          </cell>
          <cell r="B507">
            <v>2024000771</v>
          </cell>
          <cell r="C507" t="str">
            <v>187-2024</v>
          </cell>
          <cell r="D507">
            <v>4750000</v>
          </cell>
          <cell r="E507">
            <v>1087414586</v>
          </cell>
          <cell r="F507" t="str">
            <v>YULY MARCELA MORALES LOPEZ</v>
          </cell>
          <cell r="G507" t="str">
            <v>ID2177823635</v>
          </cell>
        </row>
        <row r="508">
          <cell r="A508">
            <v>45455</v>
          </cell>
          <cell r="B508">
            <v>2024000772</v>
          </cell>
          <cell r="C508" t="str">
            <v>214-2024</v>
          </cell>
          <cell r="D508">
            <v>7500000</v>
          </cell>
          <cell r="E508">
            <v>1085335767</v>
          </cell>
          <cell r="F508" t="str">
            <v>LEIDY CRISTINA RODRÌGUEZ LÓPEZ</v>
          </cell>
          <cell r="G508" t="str">
            <v>ID2177823635</v>
          </cell>
        </row>
        <row r="509">
          <cell r="A509">
            <v>45455</v>
          </cell>
          <cell r="B509">
            <v>2024000773</v>
          </cell>
          <cell r="C509" t="str">
            <v>228-2024</v>
          </cell>
          <cell r="D509">
            <v>6000000</v>
          </cell>
          <cell r="E509">
            <v>1085275879</v>
          </cell>
          <cell r="F509" t="str">
            <v>DANIELA FERNANDA ERASO VALENCIA</v>
          </cell>
          <cell r="G509" t="str">
            <v>ID2177823635</v>
          </cell>
        </row>
        <row r="510">
          <cell r="A510">
            <v>45455</v>
          </cell>
          <cell r="B510">
            <v>2024000774</v>
          </cell>
          <cell r="C510" t="str">
            <v>176-2024</v>
          </cell>
          <cell r="D510">
            <v>7500000</v>
          </cell>
          <cell r="E510">
            <v>1085329230</v>
          </cell>
          <cell r="F510" t="str">
            <v>MEHILIN TATIANA QUIMBIAMBA ORTÌZ</v>
          </cell>
          <cell r="G510" t="str">
            <v>ID2177823635</v>
          </cell>
        </row>
        <row r="511">
          <cell r="A511">
            <v>45455</v>
          </cell>
          <cell r="B511">
            <v>2024000775</v>
          </cell>
          <cell r="C511" t="str">
            <v>167-2024</v>
          </cell>
          <cell r="D511">
            <v>6000000</v>
          </cell>
          <cell r="E511">
            <v>97470681</v>
          </cell>
          <cell r="F511" t="str">
            <v>FERNANDO TEOFILO ROSERO PATIÑO</v>
          </cell>
          <cell r="G511" t="str">
            <v>ID2177823635</v>
          </cell>
        </row>
        <row r="512">
          <cell r="A512">
            <v>45455</v>
          </cell>
          <cell r="B512">
            <v>2024000776</v>
          </cell>
          <cell r="C512" t="str">
            <v>147-2024</v>
          </cell>
          <cell r="D512">
            <v>7500000</v>
          </cell>
          <cell r="E512">
            <v>12961661</v>
          </cell>
          <cell r="F512" t="str">
            <v>VICTOR HUGO QUENGUAN BURBANO</v>
          </cell>
          <cell r="G512" t="str">
            <v>ID2177823635</v>
          </cell>
        </row>
        <row r="513">
          <cell r="A513">
            <v>45455</v>
          </cell>
          <cell r="B513">
            <v>2024000778</v>
          </cell>
          <cell r="C513" t="str">
            <v>210-2024</v>
          </cell>
          <cell r="D513">
            <v>7500000</v>
          </cell>
          <cell r="E513">
            <v>1126004086</v>
          </cell>
          <cell r="F513" t="str">
            <v>JUAN  CAMILO ENRÍQUEZ ARCINIEGAS</v>
          </cell>
          <cell r="G513" t="str">
            <v>ID2177823635</v>
          </cell>
        </row>
        <row r="514">
          <cell r="A514">
            <v>45455</v>
          </cell>
          <cell r="B514">
            <v>2024000779</v>
          </cell>
          <cell r="C514" t="str">
            <v>184-2024</v>
          </cell>
          <cell r="D514">
            <v>4750000</v>
          </cell>
          <cell r="E514">
            <v>59824313</v>
          </cell>
          <cell r="F514" t="str">
            <v>FANY LUCELY RODRIGUEZ CRIOLLO</v>
          </cell>
          <cell r="G514" t="str">
            <v>ID2177823635</v>
          </cell>
        </row>
        <row r="515">
          <cell r="A515">
            <v>45455</v>
          </cell>
          <cell r="B515">
            <v>2024000781</v>
          </cell>
          <cell r="C515" t="str">
            <v>212-2024</v>
          </cell>
          <cell r="D515">
            <v>2000000</v>
          </cell>
          <cell r="E515">
            <v>1085286742</v>
          </cell>
          <cell r="F515" t="str">
            <v>VANESSA KATHERINE JOJOA ARIAS</v>
          </cell>
          <cell r="G515" t="str">
            <v>ID2177823635</v>
          </cell>
        </row>
        <row r="516">
          <cell r="A516">
            <v>45455</v>
          </cell>
          <cell r="B516">
            <v>2024000782</v>
          </cell>
          <cell r="C516" t="str">
            <v>215-2024</v>
          </cell>
          <cell r="D516">
            <v>4750000</v>
          </cell>
          <cell r="E516">
            <v>1085303067</v>
          </cell>
          <cell r="F516" t="str">
            <v>CINDY ESTEFANIA GONZALES DEL CASTILLO</v>
          </cell>
          <cell r="G516" t="str">
            <v>ID2177823635</v>
          </cell>
        </row>
        <row r="517">
          <cell r="A517">
            <v>45455</v>
          </cell>
          <cell r="B517">
            <v>2024000783</v>
          </cell>
          <cell r="C517" t="str">
            <v>217-2024</v>
          </cell>
          <cell r="D517">
            <v>4825600</v>
          </cell>
          <cell r="E517">
            <v>1085267184</v>
          </cell>
          <cell r="F517" t="str">
            <v>ANGELA PAOLA BOLAÐOS ARGOTI</v>
          </cell>
          <cell r="G517" t="str">
            <v>ID2177823635</v>
          </cell>
        </row>
        <row r="518">
          <cell r="A518">
            <v>45455</v>
          </cell>
          <cell r="B518">
            <v>2024000784</v>
          </cell>
          <cell r="C518" t="str">
            <v>216-2024</v>
          </cell>
          <cell r="D518">
            <v>4750000</v>
          </cell>
          <cell r="E518">
            <v>1085293619</v>
          </cell>
          <cell r="F518" t="str">
            <v>JERALDINE  BASTIDAS OCAÑA</v>
          </cell>
          <cell r="G518" t="str">
            <v>ID2177823635</v>
          </cell>
        </row>
        <row r="519">
          <cell r="A519">
            <v>45455</v>
          </cell>
          <cell r="B519">
            <v>2024000785</v>
          </cell>
          <cell r="C519" t="str">
            <v>160-2024</v>
          </cell>
          <cell r="D519">
            <v>2000000</v>
          </cell>
          <cell r="E519">
            <v>13070330</v>
          </cell>
          <cell r="F519" t="str">
            <v>ELBER ALFREDO CAMPAÑA IMBAQUIN</v>
          </cell>
          <cell r="G519" t="str">
            <v>ID2177823635</v>
          </cell>
        </row>
        <row r="520">
          <cell r="A520">
            <v>45456</v>
          </cell>
          <cell r="B520">
            <v>2024000788</v>
          </cell>
          <cell r="C520" t="str">
            <v>229-2024</v>
          </cell>
          <cell r="D520">
            <v>2000000</v>
          </cell>
          <cell r="E520">
            <v>59828916</v>
          </cell>
          <cell r="F520" t="str">
            <v xml:space="preserve">ROCIO DEL PILAR RIVERA </v>
          </cell>
          <cell r="G520" t="str">
            <v>ID2177823635</v>
          </cell>
        </row>
        <row r="521">
          <cell r="A521">
            <v>45456</v>
          </cell>
          <cell r="B521">
            <v>2024000789</v>
          </cell>
          <cell r="C521" t="str">
            <v>244-2024</v>
          </cell>
          <cell r="D521">
            <v>2000000</v>
          </cell>
          <cell r="E521">
            <v>69028150</v>
          </cell>
          <cell r="F521" t="str">
            <v>LYNN JANINA ORTIZ PAZ</v>
          </cell>
          <cell r="G521" t="str">
            <v>ID2177823635</v>
          </cell>
        </row>
        <row r="522">
          <cell r="A522">
            <v>45456</v>
          </cell>
          <cell r="B522">
            <v>2024000790</v>
          </cell>
          <cell r="C522" t="str">
            <v>223-2024</v>
          </cell>
          <cell r="D522">
            <v>4750000</v>
          </cell>
          <cell r="E522">
            <v>1085273424</v>
          </cell>
          <cell r="F522" t="str">
            <v>SANDRA MILENA GARCÍA  REVELO</v>
          </cell>
          <cell r="G522" t="str">
            <v>ID2177823635</v>
          </cell>
        </row>
        <row r="523">
          <cell r="A523">
            <v>45456</v>
          </cell>
          <cell r="B523">
            <v>2024000793</v>
          </cell>
          <cell r="C523" t="str">
            <v>149-2024</v>
          </cell>
          <cell r="D523">
            <v>2000000</v>
          </cell>
          <cell r="E523">
            <v>1085300095</v>
          </cell>
          <cell r="F523" t="str">
            <v>AIDE CAROLINA RIASCOS ECHEVERRY</v>
          </cell>
          <cell r="G523" t="str">
            <v>ID2177823635</v>
          </cell>
        </row>
        <row r="524">
          <cell r="A524">
            <v>45456</v>
          </cell>
          <cell r="B524">
            <v>2024000794</v>
          </cell>
          <cell r="C524" t="str">
            <v>173-2024</v>
          </cell>
          <cell r="D524">
            <v>2000000</v>
          </cell>
          <cell r="E524">
            <v>98382500</v>
          </cell>
          <cell r="F524" t="str">
            <v>JOSE JAVIER PINTA YAQUENO</v>
          </cell>
          <cell r="G524" t="str">
            <v>ID2177823635</v>
          </cell>
        </row>
        <row r="525">
          <cell r="A525">
            <v>45456</v>
          </cell>
          <cell r="B525">
            <v>2024000795</v>
          </cell>
          <cell r="C525" t="str">
            <v>202-2024</v>
          </cell>
          <cell r="D525">
            <v>6000000</v>
          </cell>
          <cell r="E525">
            <v>59820414</v>
          </cell>
          <cell r="F525" t="str">
            <v>CORDOBA ARTEAGA CARMEN PATRICIA</v>
          </cell>
          <cell r="G525" t="str">
            <v>ID2177823635</v>
          </cell>
        </row>
        <row r="526">
          <cell r="A526">
            <v>45456</v>
          </cell>
          <cell r="B526">
            <v>2024000797</v>
          </cell>
          <cell r="C526" t="str">
            <v>206-2024</v>
          </cell>
          <cell r="D526">
            <v>7500000</v>
          </cell>
          <cell r="E526">
            <v>1193202097</v>
          </cell>
          <cell r="F526" t="str">
            <v>VERONICA SOFIA HUERTAS ARCINIEGAS</v>
          </cell>
          <cell r="G526" t="str">
            <v>ID2177823635</v>
          </cell>
        </row>
        <row r="527">
          <cell r="A527">
            <v>45457</v>
          </cell>
          <cell r="B527">
            <v>2024000798</v>
          </cell>
          <cell r="C527" t="str">
            <v>221-2024</v>
          </cell>
          <cell r="D527">
            <v>2000000</v>
          </cell>
          <cell r="E527">
            <v>1085296353</v>
          </cell>
          <cell r="F527" t="str">
            <v>VERONICA ROXANA MORAN VILLOTA</v>
          </cell>
          <cell r="G527" t="str">
            <v>ID2177823635</v>
          </cell>
        </row>
        <row r="528">
          <cell r="A528">
            <v>45457</v>
          </cell>
          <cell r="B528">
            <v>2024000799</v>
          </cell>
          <cell r="C528" t="str">
            <v>180-2024</v>
          </cell>
          <cell r="D528">
            <v>4750000</v>
          </cell>
          <cell r="E528">
            <v>59312865</v>
          </cell>
          <cell r="F528" t="str">
            <v>DIANA CAROLINA CORTES TAPIA</v>
          </cell>
          <cell r="G528" t="str">
            <v>ID2177823635</v>
          </cell>
        </row>
        <row r="529">
          <cell r="A529">
            <v>45457</v>
          </cell>
          <cell r="B529">
            <v>2024000800</v>
          </cell>
          <cell r="C529" t="str">
            <v>196-2024</v>
          </cell>
          <cell r="D529">
            <v>6000000</v>
          </cell>
          <cell r="E529">
            <v>1085254626</v>
          </cell>
          <cell r="F529" t="str">
            <v>CAROLINA ISABEL PORTILLA TEPUD</v>
          </cell>
          <cell r="G529" t="str">
            <v>ID2177823635</v>
          </cell>
        </row>
        <row r="530">
          <cell r="A530">
            <v>45457</v>
          </cell>
          <cell r="B530">
            <v>2024000802</v>
          </cell>
          <cell r="C530" t="str">
            <v>209-2024</v>
          </cell>
          <cell r="D530">
            <v>4825600</v>
          </cell>
          <cell r="E530">
            <v>1085321943</v>
          </cell>
          <cell r="F530" t="str">
            <v>MARIA FERNANDA INGUILAN CARRERA</v>
          </cell>
          <cell r="G530" t="str">
            <v>ID2177823635</v>
          </cell>
        </row>
        <row r="531">
          <cell r="A531">
            <v>45457</v>
          </cell>
          <cell r="B531">
            <v>2024000804</v>
          </cell>
          <cell r="C531" t="str">
            <v>197-2024</v>
          </cell>
          <cell r="D531">
            <v>4825600</v>
          </cell>
          <cell r="E531">
            <v>1085337969</v>
          </cell>
          <cell r="F531" t="str">
            <v>SANTIAGO NICOLAS TULCAN REGALADO</v>
          </cell>
          <cell r="G531" t="str">
            <v>ID2177823635</v>
          </cell>
        </row>
        <row r="532">
          <cell r="A532">
            <v>45460</v>
          </cell>
          <cell r="B532">
            <v>2024000805</v>
          </cell>
          <cell r="C532" t="str">
            <v>194-2024</v>
          </cell>
          <cell r="D532">
            <v>2000000</v>
          </cell>
          <cell r="E532">
            <v>1004508436</v>
          </cell>
          <cell r="F532" t="str">
            <v>VALERIA FERNANDA CUASQUER CANTUCA</v>
          </cell>
          <cell r="G532" t="str">
            <v>ID2177823635</v>
          </cell>
        </row>
        <row r="533">
          <cell r="A533">
            <v>45461</v>
          </cell>
          <cell r="B533">
            <v>2024000806</v>
          </cell>
          <cell r="C533" t="str">
            <v>222-2024</v>
          </cell>
          <cell r="D533">
            <v>2000000</v>
          </cell>
          <cell r="E533">
            <v>1085255972</v>
          </cell>
          <cell r="F533" t="str">
            <v>ANDREA PAOLA MONTES PANTOJA</v>
          </cell>
          <cell r="G533" t="str">
            <v>ID2177823635</v>
          </cell>
        </row>
        <row r="534">
          <cell r="A534">
            <v>45461</v>
          </cell>
          <cell r="B534">
            <v>2024000808</v>
          </cell>
          <cell r="C534" t="str">
            <v>249-2024</v>
          </cell>
          <cell r="D534">
            <v>2000000</v>
          </cell>
          <cell r="E534">
            <v>59830040</v>
          </cell>
          <cell r="F534" t="str">
            <v>ANA CLEMENCIA BASTIDAS CERON</v>
          </cell>
          <cell r="G534" t="str">
            <v>ID2177823635</v>
          </cell>
        </row>
        <row r="535">
          <cell r="A535">
            <v>45461</v>
          </cell>
          <cell r="B535">
            <v>2024000809</v>
          </cell>
          <cell r="C535" t="str">
            <v>157-2024</v>
          </cell>
          <cell r="D535">
            <v>7500000</v>
          </cell>
          <cell r="E535">
            <v>1233189066</v>
          </cell>
          <cell r="F535" t="str">
            <v>GERALDINE  VIVIANA VILLOTA ARTEAGA</v>
          </cell>
          <cell r="G535" t="str">
            <v>ID2177823635</v>
          </cell>
        </row>
        <row r="536">
          <cell r="A536">
            <v>45462</v>
          </cell>
          <cell r="B536">
            <v>2024000815</v>
          </cell>
          <cell r="C536" t="str">
            <v>240-2024</v>
          </cell>
          <cell r="D536">
            <v>4825600</v>
          </cell>
          <cell r="E536">
            <v>1085321578</v>
          </cell>
          <cell r="F536" t="str">
            <v>CAROL  SUVANY HERRERA ERAZO</v>
          </cell>
          <cell r="G536" t="str">
            <v>ID2177823635</v>
          </cell>
        </row>
        <row r="537">
          <cell r="A537">
            <v>45462</v>
          </cell>
          <cell r="B537">
            <v>2024000816</v>
          </cell>
          <cell r="C537" t="str">
            <v>259-2024</v>
          </cell>
          <cell r="D537">
            <v>2000000</v>
          </cell>
          <cell r="E537">
            <v>36757522</v>
          </cell>
          <cell r="F537" t="str">
            <v>VIKY PATRICIA ASCUNTAR CRIOLLO</v>
          </cell>
          <cell r="G537" t="str">
            <v>ID2177823635</v>
          </cell>
        </row>
        <row r="538">
          <cell r="A538">
            <v>45462</v>
          </cell>
          <cell r="B538">
            <v>2024000817</v>
          </cell>
          <cell r="C538" t="str">
            <v>254-2024</v>
          </cell>
          <cell r="D538">
            <v>2000000</v>
          </cell>
          <cell r="E538">
            <v>1085316191</v>
          </cell>
          <cell r="F538" t="str">
            <v>MARIA HOMAIRA GUEVARA CORAL</v>
          </cell>
          <cell r="G538" t="str">
            <v>ID2177823635</v>
          </cell>
        </row>
        <row r="539">
          <cell r="A539">
            <v>45462</v>
          </cell>
          <cell r="B539">
            <v>2024000818</v>
          </cell>
          <cell r="C539" t="str">
            <v>219-2024</v>
          </cell>
          <cell r="D539">
            <v>2000000</v>
          </cell>
          <cell r="E539">
            <v>1085266584</v>
          </cell>
          <cell r="F539" t="str">
            <v>MARIA ALEJANDRA BENAVIDES AYALA</v>
          </cell>
          <cell r="G539" t="str">
            <v>ID2177823635</v>
          </cell>
        </row>
        <row r="540">
          <cell r="A540">
            <v>45462</v>
          </cell>
          <cell r="B540">
            <v>2024000819</v>
          </cell>
          <cell r="C540" t="str">
            <v>231-2024</v>
          </cell>
          <cell r="D540">
            <v>4825600</v>
          </cell>
          <cell r="E540">
            <v>59177204</v>
          </cell>
          <cell r="F540" t="str">
            <v>NAYIBI ROCIO MONCADA JATIVA</v>
          </cell>
          <cell r="G540" t="str">
            <v>ID2177823635</v>
          </cell>
        </row>
        <row r="541">
          <cell r="A541">
            <v>45462</v>
          </cell>
          <cell r="B541">
            <v>2024000820</v>
          </cell>
          <cell r="C541" t="str">
            <v>232-2024</v>
          </cell>
          <cell r="D541">
            <v>7500000</v>
          </cell>
          <cell r="E541">
            <v>37087120</v>
          </cell>
          <cell r="F541" t="str">
            <v>JOHANA CAROLINA CAICEDO GOYES</v>
          </cell>
          <cell r="G541" t="str">
            <v>ID2177823635</v>
          </cell>
        </row>
        <row r="542">
          <cell r="A542">
            <v>45463</v>
          </cell>
          <cell r="B542">
            <v>2024000821</v>
          </cell>
          <cell r="C542" t="str">
            <v>236-2024</v>
          </cell>
          <cell r="D542">
            <v>4750000</v>
          </cell>
          <cell r="E542">
            <v>1085330309</v>
          </cell>
          <cell r="F542" t="str">
            <v>LEYDI GISELLA BENAVIDES LÒPEZ</v>
          </cell>
          <cell r="G542" t="str">
            <v>ID2177823635</v>
          </cell>
        </row>
        <row r="543">
          <cell r="A543">
            <v>45463</v>
          </cell>
          <cell r="B543">
            <v>2024000822</v>
          </cell>
          <cell r="C543" t="str">
            <v>239-2024</v>
          </cell>
          <cell r="D543">
            <v>2000000</v>
          </cell>
          <cell r="E543">
            <v>1004135064</v>
          </cell>
          <cell r="F543" t="str">
            <v>JESSICA FERNANDA LAGOS DAVID</v>
          </cell>
          <cell r="G543" t="str">
            <v>ID2177823635</v>
          </cell>
        </row>
        <row r="544">
          <cell r="A544">
            <v>45463</v>
          </cell>
          <cell r="B544">
            <v>2024000823</v>
          </cell>
          <cell r="C544" t="str">
            <v>246-2024</v>
          </cell>
          <cell r="D544">
            <v>2000000</v>
          </cell>
          <cell r="E544">
            <v>1010082397</v>
          </cell>
          <cell r="F544" t="str">
            <v>JAQUELINE CAMILA GENOY VILLOTA</v>
          </cell>
          <cell r="G544" t="str">
            <v>ID2177823635</v>
          </cell>
        </row>
        <row r="545">
          <cell r="A545">
            <v>45463</v>
          </cell>
          <cell r="B545">
            <v>2024000824</v>
          </cell>
          <cell r="C545" t="str">
            <v>255-2024</v>
          </cell>
          <cell r="D545">
            <v>2000000</v>
          </cell>
          <cell r="E545">
            <v>1085347540</v>
          </cell>
          <cell r="F545" t="str">
            <v>DANIELA ALEXANDRA PABON YARPAS</v>
          </cell>
          <cell r="G545" t="str">
            <v>ID2177823635</v>
          </cell>
        </row>
        <row r="546">
          <cell r="A546">
            <v>45463</v>
          </cell>
          <cell r="B546">
            <v>2024000825</v>
          </cell>
          <cell r="C546" t="str">
            <v>203-2024</v>
          </cell>
          <cell r="D546">
            <v>2000000</v>
          </cell>
          <cell r="E546">
            <v>1085339190</v>
          </cell>
          <cell r="F546" t="str">
            <v>KELLY YURANY JOJOA BOTINA</v>
          </cell>
          <cell r="G546" t="str">
            <v>ID2177823635</v>
          </cell>
        </row>
        <row r="547">
          <cell r="A547">
            <v>45467</v>
          </cell>
          <cell r="B547">
            <v>2024000851</v>
          </cell>
          <cell r="C547" t="str">
            <v>251-2024</v>
          </cell>
          <cell r="D547">
            <v>2000000</v>
          </cell>
          <cell r="E547">
            <v>1193218691</v>
          </cell>
          <cell r="F547" t="str">
            <v>BRENDA DAYANA TABLA PULISTAR</v>
          </cell>
          <cell r="G547" t="str">
            <v>ID2177823635</v>
          </cell>
        </row>
        <row r="548">
          <cell r="A548">
            <v>45467</v>
          </cell>
          <cell r="B548">
            <v>2024000852</v>
          </cell>
          <cell r="C548" t="str">
            <v>233-2024</v>
          </cell>
          <cell r="D548">
            <v>4750000</v>
          </cell>
          <cell r="E548">
            <v>1085318201</v>
          </cell>
          <cell r="F548" t="str">
            <v>JAZMIN ELIZABETH ARCE CALDERON</v>
          </cell>
          <cell r="G548" t="str">
            <v>ID2177823635</v>
          </cell>
        </row>
        <row r="549">
          <cell r="A549">
            <v>45467</v>
          </cell>
          <cell r="B549">
            <v>2024000853</v>
          </cell>
          <cell r="C549" t="str">
            <v>266-2024</v>
          </cell>
          <cell r="D549">
            <v>4750000</v>
          </cell>
          <cell r="E549">
            <v>1085324546</v>
          </cell>
          <cell r="F549" t="str">
            <v>ERIKA PAOLA ESTRADA  BURBANO</v>
          </cell>
          <cell r="G549" t="str">
            <v>ID2177823635</v>
          </cell>
        </row>
        <row r="550">
          <cell r="A550">
            <v>45467</v>
          </cell>
          <cell r="B550">
            <v>2024000854</v>
          </cell>
          <cell r="C550" t="str">
            <v>258-2024</v>
          </cell>
          <cell r="D550">
            <v>2000000</v>
          </cell>
          <cell r="E550">
            <v>27285974</v>
          </cell>
          <cell r="F550" t="str">
            <v>LUZDARI  JARAMILLO NOGUERA</v>
          </cell>
          <cell r="G550" t="str">
            <v>ID2177823635</v>
          </cell>
        </row>
        <row r="551">
          <cell r="A551">
            <v>45467</v>
          </cell>
          <cell r="B551">
            <v>2024000855</v>
          </cell>
          <cell r="C551" t="str">
            <v>247-2024</v>
          </cell>
          <cell r="D551">
            <v>2000000</v>
          </cell>
          <cell r="E551">
            <v>1080040858</v>
          </cell>
          <cell r="F551" t="str">
            <v>YEIMY ANABELY MONCAYO ARTEAGA</v>
          </cell>
          <cell r="G551" t="str">
            <v>ID2177823635</v>
          </cell>
        </row>
        <row r="552">
          <cell r="A552">
            <v>45467</v>
          </cell>
          <cell r="B552">
            <v>2024000856</v>
          </cell>
          <cell r="C552" t="str">
            <v>238-2024</v>
          </cell>
          <cell r="D552">
            <v>2000000</v>
          </cell>
          <cell r="E552">
            <v>1004709928</v>
          </cell>
          <cell r="F552" t="str">
            <v>DEISY ANDREA MARTÍNEZ NARVAEZ</v>
          </cell>
          <cell r="G552" t="str">
            <v>ID2177823635</v>
          </cell>
        </row>
        <row r="553">
          <cell r="A553">
            <v>45467</v>
          </cell>
          <cell r="B553">
            <v>2024000857</v>
          </cell>
          <cell r="C553" t="str">
            <v>257-2024</v>
          </cell>
          <cell r="D553">
            <v>4750000</v>
          </cell>
          <cell r="E553">
            <v>1085318684</v>
          </cell>
          <cell r="F553" t="str">
            <v>JENIFER  AREVALO CRIOLLO</v>
          </cell>
          <cell r="G553" t="str">
            <v>ID2177823635</v>
          </cell>
        </row>
        <row r="554">
          <cell r="A554">
            <v>45467</v>
          </cell>
          <cell r="B554">
            <v>2024000858</v>
          </cell>
          <cell r="C554" t="str">
            <v>265-2024</v>
          </cell>
          <cell r="D554">
            <v>21817250</v>
          </cell>
          <cell r="E554">
            <v>900633448</v>
          </cell>
          <cell r="F554" t="str">
            <v>EXPRESO SURAMERICANA DE TURISMO SAS</v>
          </cell>
          <cell r="G554" t="str">
            <v>ID2177823635</v>
          </cell>
        </row>
        <row r="555">
          <cell r="A555">
            <v>45467</v>
          </cell>
          <cell r="B555">
            <v>2024000850</v>
          </cell>
          <cell r="C555" t="str">
            <v>270-2024</v>
          </cell>
          <cell r="D555">
            <v>7500000</v>
          </cell>
          <cell r="E555">
            <v>7603662</v>
          </cell>
          <cell r="F555" t="str">
            <v>FERNANDO ALBERTO ROMERO SOLANO</v>
          </cell>
          <cell r="G555" t="str">
            <v>ID2177823635</v>
          </cell>
        </row>
        <row r="556">
          <cell r="A556">
            <v>45469</v>
          </cell>
          <cell r="B556">
            <v>2024000934</v>
          </cell>
          <cell r="C556" t="str">
            <v>185-2024</v>
          </cell>
          <cell r="D556">
            <v>2000000</v>
          </cell>
          <cell r="E556">
            <v>1193224810</v>
          </cell>
          <cell r="F556" t="str">
            <v>EVELYN  FERNANDA ACOSTA CHICAIZA</v>
          </cell>
          <cell r="G556" t="str">
            <v>ID2177823635</v>
          </cell>
        </row>
        <row r="557">
          <cell r="A557">
            <v>45469</v>
          </cell>
          <cell r="B557">
            <v>2024000935</v>
          </cell>
          <cell r="C557" t="str">
            <v>198-2024</v>
          </cell>
          <cell r="D557">
            <v>7500000</v>
          </cell>
          <cell r="E557">
            <v>1089244511</v>
          </cell>
          <cell r="F557" t="str">
            <v>DIDIER RAIMUNDO MENESES GUERRERO</v>
          </cell>
          <cell r="G557" t="str">
            <v>ID2177823635</v>
          </cell>
        </row>
        <row r="558">
          <cell r="A558">
            <v>45469</v>
          </cell>
          <cell r="B558">
            <v>2024000937</v>
          </cell>
          <cell r="C558" t="str">
            <v>195-2024</v>
          </cell>
          <cell r="D558">
            <v>6000000</v>
          </cell>
          <cell r="E558">
            <v>1089242085</v>
          </cell>
          <cell r="F558" t="str">
            <v>DANNY YESID DELGADO MORA</v>
          </cell>
          <cell r="G558" t="str">
            <v>ID2177823635</v>
          </cell>
        </row>
        <row r="559">
          <cell r="A559">
            <v>45469</v>
          </cell>
          <cell r="B559">
            <v>2024000938</v>
          </cell>
          <cell r="C559" t="str">
            <v>272-2024</v>
          </cell>
          <cell r="D559">
            <v>2000000</v>
          </cell>
          <cell r="E559">
            <v>1081592303</v>
          </cell>
          <cell r="F559" t="str">
            <v>MARILIN  ZAMBRANO OBANDO</v>
          </cell>
          <cell r="G559" t="str">
            <v>ID2177823635</v>
          </cell>
        </row>
        <row r="560">
          <cell r="A560">
            <v>45470</v>
          </cell>
          <cell r="B560">
            <v>2024000941</v>
          </cell>
          <cell r="C560" t="str">
            <v>154-2024</v>
          </cell>
          <cell r="D560">
            <v>4750000</v>
          </cell>
          <cell r="E560">
            <v>59821282</v>
          </cell>
          <cell r="F560" t="str">
            <v>XIMENA DEL ROSARIO LOPEZ MAYA</v>
          </cell>
          <cell r="G560" t="str">
            <v>ID2177823635</v>
          </cell>
        </row>
        <row r="561">
          <cell r="A561">
            <v>45470</v>
          </cell>
          <cell r="B561">
            <v>2024000942</v>
          </cell>
          <cell r="C561" t="str">
            <v>153-2024</v>
          </cell>
          <cell r="D561">
            <v>7500000</v>
          </cell>
          <cell r="E561">
            <v>1085320661</v>
          </cell>
          <cell r="F561" t="str">
            <v>JHEIBER BRANLLERT DULCE MUÑOZ</v>
          </cell>
          <cell r="G561" t="str">
            <v>ID2177823635</v>
          </cell>
        </row>
        <row r="562">
          <cell r="A562">
            <v>45470</v>
          </cell>
          <cell r="B562">
            <v>2024000943</v>
          </cell>
          <cell r="C562" t="str">
            <v>164-2024</v>
          </cell>
          <cell r="D562">
            <v>4825600</v>
          </cell>
          <cell r="E562">
            <v>1085291221</v>
          </cell>
          <cell r="F562" t="str">
            <v>ELIZABETH ALEJANDRA TOBAR MORAN</v>
          </cell>
          <cell r="G562" t="str">
            <v>ID2177823635</v>
          </cell>
        </row>
        <row r="563">
          <cell r="A563">
            <v>45470</v>
          </cell>
          <cell r="B563">
            <v>2024000944</v>
          </cell>
          <cell r="C563" t="str">
            <v>156-2024</v>
          </cell>
          <cell r="D563">
            <v>7500000</v>
          </cell>
          <cell r="E563">
            <v>1085332934</v>
          </cell>
          <cell r="F563" t="str">
            <v>NELLY VANESSA ORDOÑEZ BASTIDAS</v>
          </cell>
          <cell r="G563" t="str">
            <v>ID2177823635</v>
          </cell>
        </row>
        <row r="564">
          <cell r="A564">
            <v>45470</v>
          </cell>
          <cell r="B564">
            <v>2024000945</v>
          </cell>
          <cell r="C564" t="str">
            <v>175-2024</v>
          </cell>
          <cell r="D564">
            <v>2000000</v>
          </cell>
          <cell r="E564">
            <v>1085318688</v>
          </cell>
          <cell r="F564" t="str">
            <v>DARLLY ROXANA ROSERO TIMARÁN</v>
          </cell>
          <cell r="G564" t="str">
            <v>ID2177823635</v>
          </cell>
        </row>
        <row r="565">
          <cell r="A565">
            <v>45470</v>
          </cell>
          <cell r="B565">
            <v>2024000946</v>
          </cell>
          <cell r="C565" t="str">
            <v>174-2024</v>
          </cell>
          <cell r="D565">
            <v>2000000</v>
          </cell>
          <cell r="E565">
            <v>1004410201</v>
          </cell>
          <cell r="F565" t="str">
            <v>JAIRO  ALBERTO MAIGUAL MIRAMAG</v>
          </cell>
          <cell r="G565" t="str">
            <v>ID2177823635</v>
          </cell>
        </row>
        <row r="566">
          <cell r="A566">
            <v>45470</v>
          </cell>
          <cell r="B566">
            <v>2024000947</v>
          </cell>
          <cell r="C566" t="str">
            <v>234-2024</v>
          </cell>
          <cell r="D566">
            <v>2000000</v>
          </cell>
          <cell r="E566">
            <v>1085313463</v>
          </cell>
          <cell r="F566" t="str">
            <v>JAZMIN DEL CARMEN NUPAN BURBANO</v>
          </cell>
          <cell r="G566" t="str">
            <v>ID2177823635</v>
          </cell>
        </row>
        <row r="567">
          <cell r="A567">
            <v>45470</v>
          </cell>
          <cell r="B567">
            <v>2024000948</v>
          </cell>
          <cell r="C567" t="str">
            <v>161-2024</v>
          </cell>
          <cell r="D567">
            <v>4825600</v>
          </cell>
          <cell r="E567">
            <v>1193385736</v>
          </cell>
          <cell r="F567" t="str">
            <v>JHONNY  ALEXANDER SEPULVEDA DUERO</v>
          </cell>
          <cell r="G567" t="str">
            <v>ID2177823635</v>
          </cell>
        </row>
        <row r="568">
          <cell r="A568">
            <v>45470</v>
          </cell>
          <cell r="B568">
            <v>2024000949</v>
          </cell>
          <cell r="C568" t="str">
            <v>178-2024</v>
          </cell>
          <cell r="D568">
            <v>2000000</v>
          </cell>
          <cell r="E568">
            <v>1007356378</v>
          </cell>
          <cell r="F568" t="str">
            <v>NAYIBI JANED MELO DELGADO</v>
          </cell>
          <cell r="G568" t="str">
            <v>ID2177823635</v>
          </cell>
        </row>
        <row r="569">
          <cell r="A569">
            <v>45470</v>
          </cell>
          <cell r="B569">
            <v>2024000950</v>
          </cell>
          <cell r="C569" t="str">
            <v>166-2024</v>
          </cell>
          <cell r="D569">
            <v>4750000</v>
          </cell>
          <cell r="E569">
            <v>1085325342</v>
          </cell>
          <cell r="F569" t="str">
            <v>JORGE LUIS CARVAJAL GUACHAVEZ</v>
          </cell>
          <cell r="G569" t="str">
            <v>ID2177823635</v>
          </cell>
        </row>
        <row r="570">
          <cell r="A570">
            <v>45470</v>
          </cell>
          <cell r="B570">
            <v>2024000951</v>
          </cell>
          <cell r="C570" t="str">
            <v>171-2024</v>
          </cell>
          <cell r="D570">
            <v>2000000</v>
          </cell>
          <cell r="E570">
            <v>1085288636</v>
          </cell>
          <cell r="F570" t="str">
            <v>DIANA SOFIA AYALA DIAZ</v>
          </cell>
          <cell r="G570" t="str">
            <v>ID2177823635</v>
          </cell>
        </row>
        <row r="571">
          <cell r="A571">
            <v>45470</v>
          </cell>
          <cell r="B571">
            <v>2024000952</v>
          </cell>
          <cell r="C571" t="str">
            <v>148-2024</v>
          </cell>
          <cell r="D571">
            <v>4825600</v>
          </cell>
          <cell r="E571">
            <v>1085338534</v>
          </cell>
          <cell r="F571" t="str">
            <v>ANA VICTORIA ORTEGA GOMEZ</v>
          </cell>
          <cell r="G571" t="str">
            <v>ID2177823635</v>
          </cell>
        </row>
        <row r="572">
          <cell r="A572">
            <v>45470</v>
          </cell>
          <cell r="B572">
            <v>2024000953</v>
          </cell>
          <cell r="C572" t="str">
            <v>145-2024</v>
          </cell>
          <cell r="D572">
            <v>2000000</v>
          </cell>
          <cell r="E572">
            <v>1030606749</v>
          </cell>
          <cell r="F572" t="str">
            <v>ANGELA EDITH GONZALEZ PIANDA</v>
          </cell>
          <cell r="G572" t="str">
            <v>ID2177823635</v>
          </cell>
        </row>
        <row r="573">
          <cell r="A573">
            <v>45470</v>
          </cell>
          <cell r="B573">
            <v>2024000954</v>
          </cell>
          <cell r="C573" t="str">
            <v>170-2024</v>
          </cell>
          <cell r="D573">
            <v>4825600</v>
          </cell>
          <cell r="E573">
            <v>37082349</v>
          </cell>
          <cell r="F573" t="str">
            <v>PAULA XIMENA CHÁVES PASMIÑO</v>
          </cell>
          <cell r="G573" t="str">
            <v>ID2177823635</v>
          </cell>
        </row>
        <row r="574">
          <cell r="A574">
            <v>45470</v>
          </cell>
          <cell r="B574">
            <v>2024000955</v>
          </cell>
          <cell r="C574" t="str">
            <v>243-2024</v>
          </cell>
          <cell r="D574">
            <v>4825600</v>
          </cell>
          <cell r="E574">
            <v>59310145</v>
          </cell>
          <cell r="F574" t="str">
            <v>EDITH ANGELICA LOPEZ VILLARREAL</v>
          </cell>
          <cell r="G574" t="str">
            <v>ID2177823635</v>
          </cell>
        </row>
        <row r="575">
          <cell r="A575">
            <v>45470</v>
          </cell>
          <cell r="B575">
            <v>2024000956</v>
          </cell>
          <cell r="C575" t="str">
            <v>253-2024</v>
          </cell>
          <cell r="D575">
            <v>2000000</v>
          </cell>
          <cell r="E575">
            <v>1004592366</v>
          </cell>
          <cell r="F575" t="str">
            <v>IBONNE ALEJANDRA SILVA ARAUJO</v>
          </cell>
          <cell r="G575" t="str">
            <v>ID2177823635</v>
          </cell>
        </row>
        <row r="576">
          <cell r="A576">
            <v>45470</v>
          </cell>
          <cell r="B576">
            <v>2024000960</v>
          </cell>
          <cell r="C576" t="str">
            <v>162-2024</v>
          </cell>
          <cell r="D576">
            <v>2000000</v>
          </cell>
          <cell r="E576">
            <v>1085327701</v>
          </cell>
          <cell r="F576" t="str">
            <v>MARIA JOSE LEITON ZUTTA</v>
          </cell>
          <cell r="G576" t="str">
            <v>ID2177823635</v>
          </cell>
        </row>
        <row r="577">
          <cell r="A577">
            <v>45470</v>
          </cell>
          <cell r="B577">
            <v>2024000961</v>
          </cell>
          <cell r="C577" t="str">
            <v>159-2024</v>
          </cell>
          <cell r="D577">
            <v>2000000</v>
          </cell>
          <cell r="E577">
            <v>1085317833</v>
          </cell>
          <cell r="F577" t="str">
            <v>ANGIE VIVIANA SACANAMBUY PAZ</v>
          </cell>
          <cell r="G577" t="str">
            <v>ID2177823635</v>
          </cell>
        </row>
        <row r="578">
          <cell r="A578">
            <v>45470</v>
          </cell>
          <cell r="B578">
            <v>2024000962</v>
          </cell>
          <cell r="C578" t="str">
            <v>230-2024</v>
          </cell>
          <cell r="D578">
            <v>4825600</v>
          </cell>
          <cell r="E578">
            <v>1088730712</v>
          </cell>
          <cell r="F578" t="str">
            <v>ANGELA PATRICIA BASTIDAS  MELO</v>
          </cell>
          <cell r="G578" t="str">
            <v>ID2177823635</v>
          </cell>
        </row>
        <row r="579">
          <cell r="A579">
            <v>45470</v>
          </cell>
          <cell r="B579">
            <v>2024000963</v>
          </cell>
          <cell r="C579" t="str">
            <v>196-2024</v>
          </cell>
          <cell r="D579">
            <v>6000000</v>
          </cell>
          <cell r="E579">
            <v>1085254626</v>
          </cell>
          <cell r="F579" t="str">
            <v>CAROLINA ISABEL PORTILLA TEPUD</v>
          </cell>
          <cell r="G579" t="str">
            <v>ID2177823635</v>
          </cell>
        </row>
        <row r="580">
          <cell r="A580">
            <v>45470</v>
          </cell>
          <cell r="B580">
            <v>2024000964</v>
          </cell>
          <cell r="C580" t="str">
            <v>188-2024</v>
          </cell>
          <cell r="D580">
            <v>2000000</v>
          </cell>
          <cell r="E580">
            <v>36757213</v>
          </cell>
          <cell r="F580" t="str">
            <v>MONICA DEL ROCIO ERAZO RUIZ</v>
          </cell>
          <cell r="G580" t="str">
            <v>ID2177823635</v>
          </cell>
        </row>
        <row r="581">
          <cell r="A581">
            <v>45475</v>
          </cell>
          <cell r="B581">
            <v>2024000967</v>
          </cell>
          <cell r="C581" t="str">
            <v>188-2024</v>
          </cell>
          <cell r="D581">
            <v>2000000</v>
          </cell>
          <cell r="E581">
            <v>36757213</v>
          </cell>
          <cell r="F581" t="str">
            <v>MONICA DEL ROCIO ERAZO RUIZ</v>
          </cell>
          <cell r="G581" t="str">
            <v>ID2177823635</v>
          </cell>
        </row>
        <row r="582">
          <cell r="A582">
            <v>45475</v>
          </cell>
          <cell r="B582">
            <v>2024000968</v>
          </cell>
          <cell r="C582" t="str">
            <v>187-2024</v>
          </cell>
          <cell r="D582">
            <v>4750000</v>
          </cell>
          <cell r="E582">
            <v>1087414586</v>
          </cell>
          <cell r="F582" t="str">
            <v>YULY MARCELA MORALES LOPEZ</v>
          </cell>
          <cell r="G582" t="str">
            <v>ID2177823635</v>
          </cell>
        </row>
        <row r="583">
          <cell r="A583">
            <v>45475</v>
          </cell>
          <cell r="B583">
            <v>2024000969</v>
          </cell>
          <cell r="C583" t="str">
            <v>193-2024</v>
          </cell>
          <cell r="D583">
            <v>4825600</v>
          </cell>
          <cell r="E583">
            <v>30733517</v>
          </cell>
          <cell r="F583" t="str">
            <v>CARMEN  LILIANA ARCINIEGAS LÒPEZ</v>
          </cell>
          <cell r="G583" t="str">
            <v>ID2177823635</v>
          </cell>
        </row>
        <row r="584">
          <cell r="A584">
            <v>45475</v>
          </cell>
          <cell r="B584">
            <v>2024000970</v>
          </cell>
          <cell r="C584" t="str">
            <v>268-2024</v>
          </cell>
          <cell r="D584">
            <v>2000000</v>
          </cell>
          <cell r="E584">
            <v>1004232508</v>
          </cell>
          <cell r="F584" t="str">
            <v>PABLO JOSÉ BADOS LÒPEZ</v>
          </cell>
          <cell r="G584" t="str">
            <v>ID2177823635</v>
          </cell>
        </row>
        <row r="585">
          <cell r="A585">
            <v>45475</v>
          </cell>
          <cell r="B585">
            <v>2024000971</v>
          </cell>
          <cell r="C585" t="str">
            <v>277-2024</v>
          </cell>
          <cell r="D585">
            <v>2000000</v>
          </cell>
          <cell r="E585">
            <v>1004726758</v>
          </cell>
          <cell r="F585" t="str">
            <v>NORIDA JULIETH TOBAR ARTEAGA</v>
          </cell>
          <cell r="G585" t="str">
            <v>ID2177823635</v>
          </cell>
        </row>
        <row r="586">
          <cell r="A586">
            <v>45475</v>
          </cell>
          <cell r="B586">
            <v>2024000972</v>
          </cell>
          <cell r="C586" t="str">
            <v>256-2024</v>
          </cell>
          <cell r="D586">
            <v>2000000</v>
          </cell>
          <cell r="E586">
            <v>1010113730</v>
          </cell>
          <cell r="F586" t="str">
            <v>DIANA MILENA PAZ NANDAR</v>
          </cell>
          <cell r="G586" t="str">
            <v>ID2177823635</v>
          </cell>
        </row>
        <row r="587">
          <cell r="A587">
            <v>45475</v>
          </cell>
          <cell r="B587">
            <v>2024000973</v>
          </cell>
          <cell r="C587" t="str">
            <v>276-2024</v>
          </cell>
          <cell r="D587">
            <v>6000000</v>
          </cell>
          <cell r="E587">
            <v>27097289</v>
          </cell>
          <cell r="F587" t="str">
            <v>BLANCA MELVA GAVIRIA BRAVO</v>
          </cell>
          <cell r="G587" t="str">
            <v>ID2177823635</v>
          </cell>
        </row>
        <row r="588">
          <cell r="A588">
            <v>45475</v>
          </cell>
          <cell r="B588">
            <v>2024000975</v>
          </cell>
          <cell r="C588" t="str">
            <v>285-2024</v>
          </cell>
          <cell r="D588">
            <v>2000000</v>
          </cell>
          <cell r="E588">
            <v>36758143</v>
          </cell>
          <cell r="F588" t="str">
            <v>LUCERITO DEL CARMEN REVELO BENAVIDES</v>
          </cell>
          <cell r="G588" t="str">
            <v>ID2177823635</v>
          </cell>
        </row>
        <row r="589">
          <cell r="A589">
            <v>45475</v>
          </cell>
          <cell r="B589">
            <v>2024000976</v>
          </cell>
          <cell r="C589" t="str">
            <v>151-2024</v>
          </cell>
          <cell r="D589">
            <v>2000000</v>
          </cell>
          <cell r="E589">
            <v>1004234290</v>
          </cell>
          <cell r="F589" t="str">
            <v>LAURA  SOFIA ROSERO DAVID</v>
          </cell>
          <cell r="G589" t="str">
            <v>ID2177823635</v>
          </cell>
        </row>
        <row r="590">
          <cell r="A590">
            <v>45475</v>
          </cell>
          <cell r="B590">
            <v>2024000977</v>
          </cell>
          <cell r="C590" t="str">
            <v>176-2024</v>
          </cell>
          <cell r="D590">
            <v>7500000</v>
          </cell>
          <cell r="E590">
            <v>1085329230</v>
          </cell>
          <cell r="F590" t="str">
            <v>MEHILIN TATIANA QUIMBIAMBA ORTÌZ</v>
          </cell>
          <cell r="G590" t="str">
            <v>ID2177823635</v>
          </cell>
        </row>
        <row r="591">
          <cell r="A591">
            <v>45475</v>
          </cell>
          <cell r="B591">
            <v>2024000978</v>
          </cell>
          <cell r="C591" t="str">
            <v>200-2024</v>
          </cell>
          <cell r="D591">
            <v>4825600</v>
          </cell>
          <cell r="E591">
            <v>1085332406</v>
          </cell>
          <cell r="F591" t="str">
            <v>MERCY LORENA SACANAMBUY LOPEZ</v>
          </cell>
          <cell r="G591" t="str">
            <v>ID2177823635</v>
          </cell>
        </row>
        <row r="592">
          <cell r="A592">
            <v>45475</v>
          </cell>
          <cell r="B592">
            <v>2024000979</v>
          </cell>
          <cell r="C592" t="str">
            <v>205-2024</v>
          </cell>
          <cell r="D592">
            <v>4825600</v>
          </cell>
          <cell r="E592">
            <v>27087851</v>
          </cell>
          <cell r="F592" t="str">
            <v>ADRIANA YORLADY ARMERO BURBANO</v>
          </cell>
          <cell r="G592" t="str">
            <v>ID2177823635</v>
          </cell>
        </row>
        <row r="593">
          <cell r="A593">
            <v>45475</v>
          </cell>
          <cell r="B593">
            <v>2024000980</v>
          </cell>
          <cell r="C593" t="str">
            <v>184-2024</v>
          </cell>
          <cell r="D593">
            <v>4750000</v>
          </cell>
          <cell r="E593">
            <v>59824313</v>
          </cell>
          <cell r="F593" t="str">
            <v>FANY LUCELY RODRIGUEZ CRIOLLO</v>
          </cell>
          <cell r="G593" t="str">
            <v>ID2177823635</v>
          </cell>
        </row>
        <row r="594">
          <cell r="A594">
            <v>45475</v>
          </cell>
          <cell r="B594">
            <v>2024000981</v>
          </cell>
          <cell r="C594" t="str">
            <v>183-2024</v>
          </cell>
          <cell r="D594">
            <v>6000000</v>
          </cell>
          <cell r="E594">
            <v>36951002</v>
          </cell>
          <cell r="F594" t="str">
            <v>NANCY VISITACIÓN CHAMORRO GUAICHAR</v>
          </cell>
          <cell r="G594" t="str">
            <v>ID2177823635</v>
          </cell>
        </row>
        <row r="595">
          <cell r="A595">
            <v>45475</v>
          </cell>
          <cell r="B595">
            <v>2024000982</v>
          </cell>
          <cell r="C595" t="str">
            <v>146-2024</v>
          </cell>
          <cell r="D595">
            <v>2000000</v>
          </cell>
          <cell r="E595">
            <v>1085302942</v>
          </cell>
          <cell r="F595" t="str">
            <v>MARIA CAMILA PAREDEZ TIMANA</v>
          </cell>
          <cell r="G595" t="str">
            <v>ID2177823635</v>
          </cell>
        </row>
        <row r="596">
          <cell r="A596">
            <v>45475</v>
          </cell>
          <cell r="B596">
            <v>2024000983</v>
          </cell>
          <cell r="C596" t="str">
            <v>150-2024</v>
          </cell>
          <cell r="D596">
            <v>2000000</v>
          </cell>
          <cell r="E596">
            <v>1004635031</v>
          </cell>
          <cell r="F596" t="str">
            <v>ASTRID CAROLINA CAICEDO LUNA</v>
          </cell>
          <cell r="G596" t="str">
            <v>ID2177823635</v>
          </cell>
        </row>
        <row r="597">
          <cell r="A597">
            <v>45475</v>
          </cell>
          <cell r="B597">
            <v>2024000984</v>
          </cell>
          <cell r="C597" t="str">
            <v>152-2024</v>
          </cell>
          <cell r="D597">
            <v>4750000</v>
          </cell>
          <cell r="E597">
            <v>1085260497</v>
          </cell>
          <cell r="F597" t="str">
            <v>JOSE FERNANDO CHAÑA QUENGUAN</v>
          </cell>
          <cell r="G597" t="str">
            <v>ID2177823635</v>
          </cell>
        </row>
        <row r="598">
          <cell r="A598">
            <v>45475</v>
          </cell>
          <cell r="B598">
            <v>2024000985</v>
          </cell>
          <cell r="C598" t="str">
            <v>168-2024</v>
          </cell>
          <cell r="D598">
            <v>2000000</v>
          </cell>
          <cell r="E598">
            <v>27087122</v>
          </cell>
          <cell r="F598" t="str">
            <v>MARITZA ROCIO OLIVA CUZ</v>
          </cell>
          <cell r="G598" t="str">
            <v>ID2177823635</v>
          </cell>
        </row>
        <row r="599">
          <cell r="A599">
            <v>45476</v>
          </cell>
          <cell r="B599">
            <v>2024000994</v>
          </cell>
          <cell r="C599" t="str">
            <v>260-2024</v>
          </cell>
          <cell r="D599">
            <v>2000000</v>
          </cell>
          <cell r="E599">
            <v>1085261053</v>
          </cell>
          <cell r="F599" t="str">
            <v>ISABEL CRISTINA SANTACRUZ MUÑOZ</v>
          </cell>
          <cell r="G599" t="str">
            <v>ID2177823635</v>
          </cell>
        </row>
        <row r="600">
          <cell r="A600">
            <v>45476</v>
          </cell>
          <cell r="B600">
            <v>2024000995</v>
          </cell>
          <cell r="C600" t="str">
            <v>237-2024</v>
          </cell>
          <cell r="D600">
            <v>4825600</v>
          </cell>
          <cell r="E600">
            <v>1085269530</v>
          </cell>
          <cell r="F600" t="str">
            <v xml:space="preserve">CLARA MARIA ACOSTA </v>
          </cell>
          <cell r="G600" t="str">
            <v>ID2177823635</v>
          </cell>
        </row>
        <row r="601">
          <cell r="A601">
            <v>45476</v>
          </cell>
          <cell r="B601">
            <v>2024000996</v>
          </cell>
          <cell r="C601" t="str">
            <v>192-2024</v>
          </cell>
          <cell r="D601">
            <v>2000000</v>
          </cell>
          <cell r="E601">
            <v>1085250095</v>
          </cell>
          <cell r="F601" t="str">
            <v>LIDIA JIMENA RODRIGUEZ LOZA</v>
          </cell>
          <cell r="G601" t="str">
            <v>ID2177823635</v>
          </cell>
        </row>
        <row r="602">
          <cell r="A602">
            <v>45476</v>
          </cell>
          <cell r="B602">
            <v>2024000997</v>
          </cell>
          <cell r="C602" t="str">
            <v>163-2024</v>
          </cell>
          <cell r="D602">
            <v>2000000</v>
          </cell>
          <cell r="E602">
            <v>59834953</v>
          </cell>
          <cell r="F602" t="str">
            <v>PATRICIA YOLANDA PAZ  DELGADO</v>
          </cell>
          <cell r="G602" t="str">
            <v>ID2177823635</v>
          </cell>
        </row>
        <row r="603">
          <cell r="A603">
            <v>45476</v>
          </cell>
          <cell r="B603">
            <v>2024000998</v>
          </cell>
          <cell r="C603" t="str">
            <v>275-2024</v>
          </cell>
          <cell r="D603">
            <v>2000000</v>
          </cell>
          <cell r="E603">
            <v>1193265360</v>
          </cell>
          <cell r="F603" t="str">
            <v>ADRIANA SOFIA ISANDARA NUPAN</v>
          </cell>
          <cell r="G603" t="str">
            <v>ID2177823635</v>
          </cell>
        </row>
        <row r="604">
          <cell r="A604">
            <v>45476</v>
          </cell>
          <cell r="B604">
            <v>2024000999</v>
          </cell>
          <cell r="C604" t="str">
            <v>321-2024</v>
          </cell>
          <cell r="D604">
            <v>6000000</v>
          </cell>
          <cell r="E604">
            <v>1004213964</v>
          </cell>
          <cell r="F604" t="str">
            <v>JENIFFER  ARCOS GIL</v>
          </cell>
          <cell r="G604" t="str">
            <v>ID2177823635</v>
          </cell>
        </row>
        <row r="605">
          <cell r="A605">
            <v>45476</v>
          </cell>
          <cell r="B605">
            <v>2024001000</v>
          </cell>
          <cell r="C605" t="str">
            <v>280-2024</v>
          </cell>
          <cell r="D605">
            <v>2000000</v>
          </cell>
          <cell r="E605">
            <v>1193271854</v>
          </cell>
          <cell r="F605" t="str">
            <v>JUANITA MAYLIN VELASQUEZ REVELO</v>
          </cell>
          <cell r="G605" t="str">
            <v>ID2177823635</v>
          </cell>
        </row>
        <row r="606">
          <cell r="A606">
            <v>45477</v>
          </cell>
          <cell r="B606">
            <v>2024001017</v>
          </cell>
          <cell r="C606" t="str">
            <v>281-2024</v>
          </cell>
          <cell r="D606">
            <v>4750000</v>
          </cell>
          <cell r="E606">
            <v>1087413951</v>
          </cell>
          <cell r="F606" t="str">
            <v>MAYERLY NORIDIA ASMAZA GETIAL</v>
          </cell>
          <cell r="G606" t="str">
            <v>ID2177823635</v>
          </cell>
        </row>
        <row r="607">
          <cell r="A607">
            <v>45477</v>
          </cell>
          <cell r="B607">
            <v>2024001018</v>
          </cell>
          <cell r="C607" t="str">
            <v>197-2024</v>
          </cell>
          <cell r="D607">
            <v>4825600</v>
          </cell>
          <cell r="E607">
            <v>1085337969</v>
          </cell>
          <cell r="F607" t="str">
            <v>SANTIAGO NICOLAS TULCAN REGALADO</v>
          </cell>
          <cell r="G607" t="str">
            <v>ID2177823635</v>
          </cell>
        </row>
        <row r="608">
          <cell r="A608">
            <v>45477</v>
          </cell>
          <cell r="B608">
            <v>2024001019</v>
          </cell>
          <cell r="C608" t="str">
            <v>169-2024</v>
          </cell>
          <cell r="D608">
            <v>7500000</v>
          </cell>
          <cell r="E608">
            <v>1088599676</v>
          </cell>
          <cell r="F608" t="str">
            <v>DANIEL GERARDO ERAZO OVIEDO</v>
          </cell>
          <cell r="G608" t="str">
            <v>ID2177823635</v>
          </cell>
        </row>
        <row r="609">
          <cell r="A609">
            <v>45477</v>
          </cell>
          <cell r="B609">
            <v>2024001020</v>
          </cell>
          <cell r="C609" t="str">
            <v>160-2024</v>
          </cell>
          <cell r="D609">
            <v>2000000</v>
          </cell>
          <cell r="E609">
            <v>13070330</v>
          </cell>
          <cell r="F609" t="str">
            <v>ELBER ALFREDO CAMPAÑA IMBAQUIN</v>
          </cell>
          <cell r="G609" t="str">
            <v>ID2177823635</v>
          </cell>
        </row>
        <row r="610">
          <cell r="A610">
            <v>45477</v>
          </cell>
          <cell r="B610">
            <v>2024001021</v>
          </cell>
          <cell r="C610" t="str">
            <v>220-2024</v>
          </cell>
          <cell r="D610">
            <v>4825600</v>
          </cell>
          <cell r="E610">
            <v>1085283723</v>
          </cell>
          <cell r="F610" t="str">
            <v>DANIEL  ALEJANDRO ESCOBAR  ANDRADE</v>
          </cell>
          <cell r="G610" t="str">
            <v>ID2177823635</v>
          </cell>
        </row>
        <row r="611">
          <cell r="A611">
            <v>45478</v>
          </cell>
          <cell r="B611">
            <v>2024001024</v>
          </cell>
          <cell r="C611" t="str">
            <v>322-2024</v>
          </cell>
          <cell r="D611">
            <v>2000000</v>
          </cell>
          <cell r="E611">
            <v>1086362994</v>
          </cell>
          <cell r="F611" t="str">
            <v>SARA  VICTORIA ALVAREZ FIGUEROA</v>
          </cell>
          <cell r="G611" t="str">
            <v>ID2177823635</v>
          </cell>
        </row>
        <row r="612">
          <cell r="A612">
            <v>45478</v>
          </cell>
          <cell r="B612">
            <v>2024001025</v>
          </cell>
          <cell r="C612" t="str">
            <v>319-2024</v>
          </cell>
          <cell r="D612">
            <v>7500000</v>
          </cell>
          <cell r="E612">
            <v>1006946167</v>
          </cell>
          <cell r="F612" t="str">
            <v>LIZETH MARCELA ORTÌZ MUÑOZ</v>
          </cell>
          <cell r="G612" t="str">
            <v>ID2177823635</v>
          </cell>
        </row>
        <row r="613">
          <cell r="A613">
            <v>45478</v>
          </cell>
          <cell r="B613">
            <v>2024001026</v>
          </cell>
          <cell r="C613" t="str">
            <v>267-2024</v>
          </cell>
          <cell r="D613">
            <v>2000000</v>
          </cell>
          <cell r="E613">
            <v>1085323101</v>
          </cell>
          <cell r="F613" t="str">
            <v>ANGIE VIVIANA AULLON VASQUEZ</v>
          </cell>
          <cell r="G613" t="str">
            <v>ID2177823635</v>
          </cell>
        </row>
        <row r="614">
          <cell r="A614">
            <v>45478</v>
          </cell>
          <cell r="B614">
            <v>2024001027</v>
          </cell>
          <cell r="C614" t="str">
            <v>344-2024</v>
          </cell>
          <cell r="D614">
            <v>2000000</v>
          </cell>
          <cell r="E614">
            <v>12974849</v>
          </cell>
          <cell r="F614" t="str">
            <v>PABLO ERNESTO RIOBAMBA IPIALES</v>
          </cell>
          <cell r="G614" t="str">
            <v>ID2177823635</v>
          </cell>
        </row>
        <row r="615">
          <cell r="A615">
            <v>45478</v>
          </cell>
          <cell r="B615">
            <v>2024001028</v>
          </cell>
          <cell r="C615" t="str">
            <v>186-2024</v>
          </cell>
          <cell r="D615">
            <v>4825600</v>
          </cell>
          <cell r="E615">
            <v>87062845</v>
          </cell>
          <cell r="F615" t="str">
            <v>EDMER LEONARDO RUALES AYALA</v>
          </cell>
          <cell r="G615" t="str">
            <v>ID2177823635</v>
          </cell>
        </row>
        <row r="616">
          <cell r="A616">
            <v>45478</v>
          </cell>
          <cell r="B616">
            <v>2024001029</v>
          </cell>
          <cell r="C616" t="str">
            <v>218-2024</v>
          </cell>
          <cell r="D616">
            <v>7500000</v>
          </cell>
          <cell r="E616">
            <v>80765093</v>
          </cell>
          <cell r="F616" t="str">
            <v>FRANCISCO  RAFAEL ORTÍZ BENÌTEZ</v>
          </cell>
          <cell r="G616" t="str">
            <v>ID2177823635</v>
          </cell>
        </row>
        <row r="617">
          <cell r="A617">
            <v>45478</v>
          </cell>
          <cell r="B617">
            <v>2024001030</v>
          </cell>
          <cell r="C617" t="str">
            <v>199-2024</v>
          </cell>
          <cell r="D617">
            <v>7500000</v>
          </cell>
          <cell r="E617">
            <v>1085304670</v>
          </cell>
          <cell r="F617" t="str">
            <v>PAOLA ANDREA VELEZ BOLAÑOS</v>
          </cell>
          <cell r="G617" t="str">
            <v>ID2177823635</v>
          </cell>
        </row>
        <row r="618">
          <cell r="A618">
            <v>45478</v>
          </cell>
          <cell r="B618">
            <v>2024001031</v>
          </cell>
          <cell r="C618" t="str">
            <v>179-2024</v>
          </cell>
          <cell r="D618">
            <v>4750000</v>
          </cell>
          <cell r="E618">
            <v>59816986</v>
          </cell>
          <cell r="F618" t="str">
            <v>INÉS MERCEDES LÓPEZ TORRES</v>
          </cell>
          <cell r="G618" t="str">
            <v>ID2177823635</v>
          </cell>
        </row>
        <row r="619">
          <cell r="A619">
            <v>45478</v>
          </cell>
          <cell r="B619">
            <v>2024001032</v>
          </cell>
          <cell r="C619" t="str">
            <v>212-2024</v>
          </cell>
          <cell r="D619">
            <v>2000000</v>
          </cell>
          <cell r="E619">
            <v>1085286742</v>
          </cell>
          <cell r="F619" t="str">
            <v>VANESSA KATHERINE JOJOA ARIAS</v>
          </cell>
          <cell r="G619" t="str">
            <v>ID2177823635</v>
          </cell>
        </row>
        <row r="620">
          <cell r="A620">
            <v>45481</v>
          </cell>
          <cell r="B620">
            <v>2024001039</v>
          </cell>
          <cell r="C620" t="str">
            <v>202-2024</v>
          </cell>
          <cell r="D620">
            <v>6000000</v>
          </cell>
          <cell r="E620">
            <v>59820414</v>
          </cell>
          <cell r="F620" t="str">
            <v>CORDOBA ARTEAGA CARMEN PATRICIA</v>
          </cell>
          <cell r="G620" t="str">
            <v>ID2177823635</v>
          </cell>
        </row>
        <row r="621">
          <cell r="A621">
            <v>45481</v>
          </cell>
          <cell r="B621">
            <v>2024001040</v>
          </cell>
          <cell r="C621" t="str">
            <v>165-2024</v>
          </cell>
          <cell r="D621">
            <v>2000000</v>
          </cell>
          <cell r="E621">
            <v>1085286725</v>
          </cell>
          <cell r="F621" t="str">
            <v>DIANA CAROLINA ORTEGA CAICEDO</v>
          </cell>
          <cell r="G621" t="str">
            <v>ID2177823635</v>
          </cell>
        </row>
        <row r="622">
          <cell r="A622">
            <v>45481</v>
          </cell>
          <cell r="B622">
            <v>2024001043</v>
          </cell>
          <cell r="C622" t="str">
            <v>203-2024</v>
          </cell>
          <cell r="D622">
            <v>2000000</v>
          </cell>
          <cell r="E622">
            <v>1085339190</v>
          </cell>
          <cell r="F622" t="str">
            <v>KELLY YURANY JOJOA BOTINA</v>
          </cell>
          <cell r="G622" t="str">
            <v>ID2177823635</v>
          </cell>
        </row>
        <row r="623">
          <cell r="A623">
            <v>45481</v>
          </cell>
          <cell r="B623">
            <v>2024001044</v>
          </cell>
          <cell r="C623" t="str">
            <v>173-2024</v>
          </cell>
          <cell r="D623">
            <v>2000000</v>
          </cell>
          <cell r="E623">
            <v>98382500</v>
          </cell>
          <cell r="F623" t="str">
            <v>JOSE JAVIER PINTA YAQUENO</v>
          </cell>
          <cell r="G623" t="str">
            <v>ID2177823635</v>
          </cell>
        </row>
        <row r="624">
          <cell r="A624">
            <v>45482</v>
          </cell>
          <cell r="B624">
            <v>2024001045</v>
          </cell>
          <cell r="C624" t="str">
            <v>147-2024</v>
          </cell>
          <cell r="D624">
            <v>7500000</v>
          </cell>
          <cell r="E624">
            <v>12961661</v>
          </cell>
          <cell r="F624" t="str">
            <v>VICTOR HUGO QUENGUAN BURBANO</v>
          </cell>
          <cell r="G624" t="str">
            <v>ID2177823635</v>
          </cell>
        </row>
        <row r="625">
          <cell r="A625">
            <v>45482</v>
          </cell>
          <cell r="B625">
            <v>2024001048</v>
          </cell>
          <cell r="C625" t="str">
            <v>189-2024</v>
          </cell>
          <cell r="D625">
            <v>2000000</v>
          </cell>
          <cell r="E625">
            <v>59837416</v>
          </cell>
          <cell r="F625" t="str">
            <v>RUTH INGRITH DIAZ VALERO</v>
          </cell>
          <cell r="G625" t="str">
            <v>ID2177823635</v>
          </cell>
        </row>
        <row r="626">
          <cell r="A626">
            <v>45482</v>
          </cell>
          <cell r="B626">
            <v>2024001049</v>
          </cell>
          <cell r="C626" t="str">
            <v>182-2024</v>
          </cell>
          <cell r="D626">
            <v>2000000</v>
          </cell>
          <cell r="E626">
            <v>1085344082</v>
          </cell>
          <cell r="F626" t="str">
            <v>NATALIA LIZETH AGUIRRE SALAZAR</v>
          </cell>
          <cell r="G626" t="str">
            <v>ID2177823635</v>
          </cell>
        </row>
        <row r="627">
          <cell r="A627">
            <v>45482</v>
          </cell>
          <cell r="B627">
            <v>2024001050</v>
          </cell>
          <cell r="C627" t="str">
            <v>223-2024</v>
          </cell>
          <cell r="D627">
            <v>4750000</v>
          </cell>
          <cell r="E627">
            <v>1085273424</v>
          </cell>
          <cell r="F627" t="str">
            <v>SANDRA MILENA GARCÍA  REVELO</v>
          </cell>
          <cell r="G627" t="str">
            <v>ID2177823635</v>
          </cell>
        </row>
        <row r="628">
          <cell r="A628">
            <v>45482</v>
          </cell>
          <cell r="B628">
            <v>2024001051</v>
          </cell>
          <cell r="C628" t="str">
            <v>283-2024</v>
          </cell>
          <cell r="D628">
            <v>2000000</v>
          </cell>
          <cell r="E628">
            <v>1014857280</v>
          </cell>
          <cell r="F628" t="str">
            <v>LAURA VALENTINA PASCUAZA YUCUMA</v>
          </cell>
          <cell r="G628" t="str">
            <v>ID2177823635</v>
          </cell>
        </row>
        <row r="629">
          <cell r="A629">
            <v>45482</v>
          </cell>
          <cell r="B629">
            <v>2024001053</v>
          </cell>
          <cell r="C629" t="str">
            <v>213-2024</v>
          </cell>
          <cell r="D629">
            <v>6000000</v>
          </cell>
          <cell r="E629">
            <v>59837608</v>
          </cell>
          <cell r="F629" t="str">
            <v>ALBA DENIS ARGOTY SANTACRUZ</v>
          </cell>
          <cell r="G629" t="str">
            <v>ID2177823635</v>
          </cell>
        </row>
        <row r="630">
          <cell r="A630">
            <v>45482</v>
          </cell>
          <cell r="B630">
            <v>2024001054</v>
          </cell>
          <cell r="C630" t="str">
            <v>286-2024</v>
          </cell>
          <cell r="D630">
            <v>4750000</v>
          </cell>
          <cell r="E630">
            <v>1193383306</v>
          </cell>
          <cell r="F630" t="str">
            <v>MARIA  DE LOS ANGELES ACOSTA ROSERO</v>
          </cell>
          <cell r="G630" t="str">
            <v>ID2177823635</v>
          </cell>
        </row>
        <row r="631">
          <cell r="A631">
            <v>45482</v>
          </cell>
          <cell r="B631">
            <v>2024001055</v>
          </cell>
          <cell r="C631" t="str">
            <v>284-2024</v>
          </cell>
          <cell r="D631">
            <v>7500000</v>
          </cell>
          <cell r="E631">
            <v>1085321192</v>
          </cell>
          <cell r="F631" t="str">
            <v>BRAYAN ANTONIO MADROÑERO QUINTERO</v>
          </cell>
          <cell r="G631" t="str">
            <v>ID2177823635</v>
          </cell>
        </row>
        <row r="632">
          <cell r="A632">
            <v>45482</v>
          </cell>
          <cell r="B632">
            <v>2024001059</v>
          </cell>
          <cell r="C632" t="str">
            <v>360-2024</v>
          </cell>
          <cell r="D632">
            <v>4750000</v>
          </cell>
          <cell r="E632">
            <v>1085345772</v>
          </cell>
          <cell r="F632" t="str">
            <v>MARIA ISABEL ALVAREZ CAICEDO</v>
          </cell>
          <cell r="G632" t="str">
            <v>ID2177823635</v>
          </cell>
        </row>
        <row r="633">
          <cell r="A633">
            <v>45482</v>
          </cell>
          <cell r="B633">
            <v>2024001057</v>
          </cell>
          <cell r="C633" t="str">
            <v>265-2024</v>
          </cell>
          <cell r="D633">
            <v>78877750</v>
          </cell>
          <cell r="E633">
            <v>900633448</v>
          </cell>
          <cell r="F633" t="str">
            <v>EXPRESO SURAMERICANA DE TURISMO SAS</v>
          </cell>
          <cell r="G633" t="str">
            <v>ID2177823635</v>
          </cell>
        </row>
        <row r="634">
          <cell r="A634">
            <v>45483</v>
          </cell>
          <cell r="B634">
            <v>2024001065</v>
          </cell>
          <cell r="C634" t="str">
            <v>262-2024</v>
          </cell>
          <cell r="D634">
            <v>2000000</v>
          </cell>
          <cell r="E634">
            <v>1085338575</v>
          </cell>
          <cell r="F634" t="str">
            <v>RAFAEL ARLEY ROSERO PINZA</v>
          </cell>
          <cell r="G634" t="str">
            <v>ID2177823635</v>
          </cell>
        </row>
        <row r="635">
          <cell r="A635">
            <v>45483</v>
          </cell>
          <cell r="B635">
            <v>2024001067</v>
          </cell>
          <cell r="C635" t="str">
            <v>232-2024</v>
          </cell>
          <cell r="D635">
            <v>7500000</v>
          </cell>
          <cell r="E635">
            <v>37087120</v>
          </cell>
          <cell r="F635" t="str">
            <v>JOHANA CAROLINA CAICEDO GOYES</v>
          </cell>
          <cell r="G635" t="str">
            <v>ID2177823635</v>
          </cell>
        </row>
        <row r="636">
          <cell r="A636">
            <v>45483</v>
          </cell>
          <cell r="B636">
            <v>2024001069</v>
          </cell>
          <cell r="C636" t="str">
            <v>243-2024</v>
          </cell>
          <cell r="D636">
            <v>4825600</v>
          </cell>
          <cell r="E636">
            <v>59310145</v>
          </cell>
          <cell r="F636" t="str">
            <v>EDITH ANGELICA LOPEZ VILLARREAL</v>
          </cell>
          <cell r="G636" t="str">
            <v>ID2177823635</v>
          </cell>
        </row>
        <row r="637">
          <cell r="A637">
            <v>45484</v>
          </cell>
          <cell r="B637">
            <v>2024001071</v>
          </cell>
          <cell r="C637" t="str">
            <v>228-2024</v>
          </cell>
          <cell r="D637">
            <v>6000000</v>
          </cell>
          <cell r="E637">
            <v>1085275879</v>
          </cell>
          <cell r="F637" t="str">
            <v>DANIELA FERNANDA ERASO VALENCIA</v>
          </cell>
          <cell r="G637" t="str">
            <v>ID2177823635</v>
          </cell>
        </row>
        <row r="638">
          <cell r="A638">
            <v>45484</v>
          </cell>
          <cell r="B638">
            <v>2024001072</v>
          </cell>
          <cell r="C638" t="str">
            <v>214-2024</v>
          </cell>
          <cell r="D638">
            <v>7500000</v>
          </cell>
          <cell r="E638">
            <v>1085335767</v>
          </cell>
          <cell r="F638" t="str">
            <v>LEIDY CRISTINA RODRÌGUEZ LÓPEZ</v>
          </cell>
          <cell r="G638" t="str">
            <v>ID2177823635</v>
          </cell>
        </row>
        <row r="639">
          <cell r="A639">
            <v>45484</v>
          </cell>
          <cell r="B639">
            <v>2024001073</v>
          </cell>
          <cell r="C639" t="str">
            <v>206-2024</v>
          </cell>
          <cell r="D639">
            <v>7500000</v>
          </cell>
          <cell r="E639">
            <v>1193202097</v>
          </cell>
          <cell r="F639" t="str">
            <v>VERONICA SOFIA HUERTAS ARCINIEGAS</v>
          </cell>
          <cell r="G639" t="str">
            <v>ID2177823635</v>
          </cell>
        </row>
        <row r="640">
          <cell r="A640">
            <v>45484</v>
          </cell>
          <cell r="B640">
            <v>2024001074</v>
          </cell>
          <cell r="C640" t="str">
            <v>239-2024</v>
          </cell>
          <cell r="D640">
            <v>2000000</v>
          </cell>
          <cell r="E640">
            <v>1004135064</v>
          </cell>
          <cell r="F640" t="str">
            <v>JESSICA FERNANDA LAGOS DAVID</v>
          </cell>
          <cell r="G640" t="str">
            <v>ID2177823635</v>
          </cell>
        </row>
        <row r="641">
          <cell r="A641">
            <v>45484</v>
          </cell>
          <cell r="B641">
            <v>2024001075</v>
          </cell>
          <cell r="C641" t="str">
            <v>246-2024</v>
          </cell>
          <cell r="D641">
            <v>2000000</v>
          </cell>
          <cell r="E641">
            <v>1010082397</v>
          </cell>
          <cell r="F641" t="str">
            <v>JAQUELINE CAMILA GENOY VILLOTA</v>
          </cell>
          <cell r="G641" t="str">
            <v>ID2177823635</v>
          </cell>
        </row>
        <row r="642">
          <cell r="A642">
            <v>45484</v>
          </cell>
          <cell r="B642">
            <v>2024001076</v>
          </cell>
          <cell r="C642" t="str">
            <v>180-2024</v>
          </cell>
          <cell r="D642">
            <v>4750000</v>
          </cell>
          <cell r="E642">
            <v>59312865</v>
          </cell>
          <cell r="F642" t="str">
            <v>DIANA CAROLINA CORTES TAPIA</v>
          </cell>
          <cell r="G642" t="str">
            <v>ID2177823635</v>
          </cell>
        </row>
        <row r="643">
          <cell r="A643">
            <v>45484</v>
          </cell>
          <cell r="B643">
            <v>2024001077</v>
          </cell>
          <cell r="C643" t="str">
            <v>221-2024</v>
          </cell>
          <cell r="D643">
            <v>2000000</v>
          </cell>
          <cell r="E643">
            <v>1085296353</v>
          </cell>
          <cell r="F643" t="str">
            <v>VERONICA ROXANA MORAN VILLOTA</v>
          </cell>
          <cell r="G643" t="str">
            <v>ID2177823635</v>
          </cell>
        </row>
        <row r="644">
          <cell r="A644">
            <v>45484</v>
          </cell>
          <cell r="B644">
            <v>2024001078</v>
          </cell>
          <cell r="C644" t="str">
            <v>177-2024</v>
          </cell>
          <cell r="D644">
            <v>2000000</v>
          </cell>
          <cell r="E644">
            <v>37084285</v>
          </cell>
          <cell r="F644" t="str">
            <v>JULIE ANDREA FREIRE MIER</v>
          </cell>
          <cell r="G644" t="str">
            <v>ID2177823635</v>
          </cell>
        </row>
        <row r="645">
          <cell r="A645">
            <v>45485</v>
          </cell>
          <cell r="B645">
            <v>2024001079</v>
          </cell>
          <cell r="C645" t="str">
            <v>242-2024</v>
          </cell>
          <cell r="D645">
            <v>2000000</v>
          </cell>
          <cell r="E645">
            <v>1010085543</v>
          </cell>
          <cell r="F645" t="str">
            <v>DANIELA VANESA MONTANCHEZ GOMAJOA</v>
          </cell>
          <cell r="G645" t="str">
            <v>ID2177823635</v>
          </cell>
        </row>
        <row r="646">
          <cell r="A646">
            <v>45485</v>
          </cell>
          <cell r="B646">
            <v>2024001080</v>
          </cell>
          <cell r="C646" t="str">
            <v>157-2024</v>
          </cell>
          <cell r="D646">
            <v>7500000</v>
          </cell>
          <cell r="E646">
            <v>1233189066</v>
          </cell>
          <cell r="F646" t="str">
            <v>GERALDINE  VIVIANA VILLOTA ARTEAGA</v>
          </cell>
          <cell r="G646" t="str">
            <v>ID2177823635</v>
          </cell>
        </row>
        <row r="647">
          <cell r="A647">
            <v>45485</v>
          </cell>
          <cell r="B647">
            <v>2024001083</v>
          </cell>
          <cell r="C647" t="str">
            <v>216-2024</v>
          </cell>
          <cell r="D647">
            <v>4750000</v>
          </cell>
          <cell r="E647">
            <v>1085293619</v>
          </cell>
          <cell r="F647" t="str">
            <v>JERALDINE  BASTIDAS OCAÑA</v>
          </cell>
          <cell r="G647" t="str">
            <v>ID2177823635</v>
          </cell>
        </row>
        <row r="648">
          <cell r="A648">
            <v>45485</v>
          </cell>
          <cell r="B648">
            <v>2024001084</v>
          </cell>
          <cell r="C648" t="str">
            <v>149-2024</v>
          </cell>
          <cell r="D648">
            <v>2000000</v>
          </cell>
          <cell r="E648">
            <v>1085300095</v>
          </cell>
          <cell r="F648" t="str">
            <v>AIDE CAROLINA RIASCOS ECHEVERRY</v>
          </cell>
          <cell r="G648" t="str">
            <v>ID2177823635</v>
          </cell>
        </row>
        <row r="649">
          <cell r="A649">
            <v>45485</v>
          </cell>
          <cell r="B649">
            <v>2024001085</v>
          </cell>
          <cell r="C649" t="str">
            <v>282-2024</v>
          </cell>
          <cell r="D649">
            <v>2000000</v>
          </cell>
          <cell r="E649">
            <v>87070661</v>
          </cell>
          <cell r="F649" t="str">
            <v>EDER SHINEIDER TUTISTAR TUTISTAR</v>
          </cell>
          <cell r="G649" t="str">
            <v>ID2177823635</v>
          </cell>
        </row>
        <row r="650">
          <cell r="A650">
            <v>45485</v>
          </cell>
          <cell r="B650">
            <v>2024001086</v>
          </cell>
          <cell r="C650" t="str">
            <v>247-2024</v>
          </cell>
          <cell r="D650">
            <v>2000000</v>
          </cell>
          <cell r="E650">
            <v>1080040858</v>
          </cell>
          <cell r="F650" t="str">
            <v>YEIMY ANABELY MONCAYO ARTEAGA</v>
          </cell>
          <cell r="G650" t="str">
            <v>ID2177823635</v>
          </cell>
        </row>
        <row r="651">
          <cell r="A651">
            <v>45485</v>
          </cell>
          <cell r="B651">
            <v>2024001087</v>
          </cell>
          <cell r="C651" t="str">
            <v>233-2024</v>
          </cell>
          <cell r="D651">
            <v>4750000</v>
          </cell>
          <cell r="E651">
            <v>1085318201</v>
          </cell>
          <cell r="F651" t="str">
            <v>JAZMIN ELIZABETH ARCE CALDERON</v>
          </cell>
          <cell r="G651" t="str">
            <v>ID2177823635</v>
          </cell>
        </row>
        <row r="652">
          <cell r="A652">
            <v>45485</v>
          </cell>
          <cell r="B652">
            <v>2024001088</v>
          </cell>
          <cell r="C652" t="str">
            <v>365-2024</v>
          </cell>
          <cell r="D652">
            <v>2000000</v>
          </cell>
          <cell r="E652">
            <v>1192717330</v>
          </cell>
          <cell r="F652" t="str">
            <v>CRISTIAN FABIAN CRIOLLO RIVERA</v>
          </cell>
          <cell r="G652" t="str">
            <v>ID2177823635</v>
          </cell>
        </row>
        <row r="653">
          <cell r="A653">
            <v>45488</v>
          </cell>
          <cell r="B653">
            <v>2024001090</v>
          </cell>
          <cell r="C653" t="str">
            <v>362-2024</v>
          </cell>
          <cell r="D653">
            <v>2000000</v>
          </cell>
          <cell r="E653">
            <v>1085271641</v>
          </cell>
          <cell r="F653" t="str">
            <v>LISSETH MARISOL CUASTUMAL  CASTRO</v>
          </cell>
          <cell r="G653" t="str">
            <v>ID2177823635</v>
          </cell>
        </row>
        <row r="654">
          <cell r="A654">
            <v>45488</v>
          </cell>
          <cell r="B654">
            <v>2024001091</v>
          </cell>
          <cell r="C654" t="str">
            <v>167-2024</v>
          </cell>
          <cell r="D654">
            <v>6000000</v>
          </cell>
          <cell r="E654">
            <v>97470681</v>
          </cell>
          <cell r="F654" t="str">
            <v>FERNANDO TEOFILO ROSERO PATIÑO</v>
          </cell>
          <cell r="G654" t="str">
            <v>ID2177823635</v>
          </cell>
        </row>
        <row r="655">
          <cell r="A655">
            <v>45488</v>
          </cell>
          <cell r="B655">
            <v>2024001092</v>
          </cell>
          <cell r="C655" t="str">
            <v>238-2024</v>
          </cell>
          <cell r="D655">
            <v>2000000</v>
          </cell>
          <cell r="E655">
            <v>1004709928</v>
          </cell>
          <cell r="F655" t="str">
            <v>DEISY ANDREA MARTÍNEZ NARVAEZ</v>
          </cell>
          <cell r="G655" t="str">
            <v>ID2177823635</v>
          </cell>
        </row>
        <row r="656">
          <cell r="A656">
            <v>45488</v>
          </cell>
          <cell r="B656">
            <v>2024001093</v>
          </cell>
          <cell r="C656" t="str">
            <v>209-2024</v>
          </cell>
          <cell r="D656">
            <v>4825600</v>
          </cell>
          <cell r="E656">
            <v>1085321943</v>
          </cell>
          <cell r="F656" t="str">
            <v>MARIA FERNANDA INGUILAN CARRERA</v>
          </cell>
          <cell r="G656" t="str">
            <v>ID2177823635</v>
          </cell>
        </row>
        <row r="657">
          <cell r="A657">
            <v>45488</v>
          </cell>
          <cell r="B657">
            <v>2024001094</v>
          </cell>
          <cell r="C657" t="str">
            <v>219-2024</v>
          </cell>
          <cell r="D657">
            <v>2000000</v>
          </cell>
          <cell r="E657">
            <v>1085266584</v>
          </cell>
          <cell r="F657" t="str">
            <v>MARIA ALEJANDRA BENAVIDES AYALA</v>
          </cell>
          <cell r="G657" t="str">
            <v>ID2177823635</v>
          </cell>
        </row>
        <row r="658">
          <cell r="A658">
            <v>45488</v>
          </cell>
          <cell r="B658">
            <v>2024001095</v>
          </cell>
          <cell r="C658" t="str">
            <v>222-2024</v>
          </cell>
          <cell r="D658">
            <v>2000000</v>
          </cell>
          <cell r="E658">
            <v>1085255972</v>
          </cell>
          <cell r="F658" t="str">
            <v>ANDREA PAOLA MONTES PANTOJA</v>
          </cell>
          <cell r="G658" t="str">
            <v>ID2177823635</v>
          </cell>
        </row>
        <row r="659">
          <cell r="A659">
            <v>45488</v>
          </cell>
          <cell r="B659">
            <v>2024001096</v>
          </cell>
          <cell r="C659" t="str">
            <v>234-2024</v>
          </cell>
          <cell r="D659">
            <v>2000000</v>
          </cell>
          <cell r="E659">
            <v>1085313463</v>
          </cell>
          <cell r="F659" t="str">
            <v>JAZMIN DEL CARMEN NUPAN BURBANO</v>
          </cell>
          <cell r="G659" t="str">
            <v>ID2177823635</v>
          </cell>
        </row>
        <row r="660">
          <cell r="A660">
            <v>45489</v>
          </cell>
          <cell r="B660">
            <v>2024001100</v>
          </cell>
          <cell r="C660" t="str">
            <v>259-2024</v>
          </cell>
          <cell r="D660">
            <v>2000000</v>
          </cell>
          <cell r="E660">
            <v>36757522</v>
          </cell>
          <cell r="F660" t="str">
            <v>VIKY PATRICIA ASCUNTAR CRIOLLO</v>
          </cell>
          <cell r="G660" t="str">
            <v>ID2177823635</v>
          </cell>
        </row>
        <row r="661">
          <cell r="A661">
            <v>45489</v>
          </cell>
          <cell r="B661">
            <v>2024001101</v>
          </cell>
          <cell r="C661" t="str">
            <v>240-2024</v>
          </cell>
          <cell r="D661">
            <v>4850600</v>
          </cell>
          <cell r="E661">
            <v>1085321578</v>
          </cell>
          <cell r="F661" t="str">
            <v>CAROL  SUVANY HERRERA ERAZO</v>
          </cell>
          <cell r="G661" t="str">
            <v>ID2177823635</v>
          </cell>
        </row>
        <row r="662">
          <cell r="A662">
            <v>45489</v>
          </cell>
          <cell r="B662">
            <v>2024001102</v>
          </cell>
          <cell r="C662" t="str">
            <v>236-2024</v>
          </cell>
          <cell r="D662">
            <v>4750000</v>
          </cell>
          <cell r="E662">
            <v>1085330309</v>
          </cell>
          <cell r="F662" t="str">
            <v>LEYDI GISELLA BENAVIDES LÒPEZ</v>
          </cell>
          <cell r="G662" t="str">
            <v>ID2177823635</v>
          </cell>
        </row>
        <row r="663">
          <cell r="A663">
            <v>45490</v>
          </cell>
          <cell r="B663">
            <v>2024001133</v>
          </cell>
          <cell r="C663" t="str">
            <v>231-2024</v>
          </cell>
          <cell r="D663">
            <v>4825600</v>
          </cell>
          <cell r="E663">
            <v>59177204</v>
          </cell>
          <cell r="F663" t="str">
            <v>NAYIBI ROCIO MONCADA JATIVA</v>
          </cell>
          <cell r="G663" t="str">
            <v>ID2177823635</v>
          </cell>
        </row>
        <row r="664">
          <cell r="A664">
            <v>45490</v>
          </cell>
          <cell r="B664">
            <v>2024001134</v>
          </cell>
          <cell r="C664" t="str">
            <v>237-2024</v>
          </cell>
          <cell r="D664">
            <v>4825600</v>
          </cell>
          <cell r="E664">
            <v>1085269530</v>
          </cell>
          <cell r="F664" t="str">
            <v xml:space="preserve">CLARA MARIA ACOSTA </v>
          </cell>
          <cell r="G664" t="str">
            <v>ID2177823635</v>
          </cell>
        </row>
        <row r="665">
          <cell r="A665">
            <v>45490</v>
          </cell>
          <cell r="B665">
            <v>2024001135</v>
          </cell>
          <cell r="C665" t="str">
            <v>244-2024</v>
          </cell>
          <cell r="D665">
            <v>2000000</v>
          </cell>
          <cell r="E665">
            <v>69028150</v>
          </cell>
          <cell r="F665" t="str">
            <v>LYNN JANINA ORTIZ PAZ</v>
          </cell>
          <cell r="G665" t="str">
            <v>ID2177823635</v>
          </cell>
        </row>
        <row r="666">
          <cell r="A666">
            <v>45490</v>
          </cell>
          <cell r="B666">
            <v>2024001136</v>
          </cell>
          <cell r="C666" t="str">
            <v>364-2024</v>
          </cell>
          <cell r="D666">
            <v>2000000</v>
          </cell>
          <cell r="E666">
            <v>1085327677</v>
          </cell>
          <cell r="F666" t="str">
            <v>JINETH VANESA CONSTAIN LASSO</v>
          </cell>
          <cell r="G666" t="str">
            <v>ID2177823635</v>
          </cell>
        </row>
        <row r="667">
          <cell r="A667">
            <v>45490</v>
          </cell>
          <cell r="B667">
            <v>2024001137</v>
          </cell>
          <cell r="C667" t="str">
            <v>367-2024</v>
          </cell>
          <cell r="D667">
            <v>2000000</v>
          </cell>
          <cell r="E667">
            <v>1089243630</v>
          </cell>
          <cell r="F667" t="str">
            <v>YENIFER NAYIBE MENESES TOBAR</v>
          </cell>
          <cell r="G667" t="str">
            <v>ID2177823635</v>
          </cell>
        </row>
        <row r="668">
          <cell r="A668">
            <v>45490</v>
          </cell>
          <cell r="B668">
            <v>2024001151</v>
          </cell>
          <cell r="C668" t="str">
            <v>287-2024</v>
          </cell>
          <cell r="D668">
            <v>4750000</v>
          </cell>
          <cell r="E668">
            <v>87060703</v>
          </cell>
          <cell r="F668" t="str">
            <v>JESUS ARMANDO MARTÍNEZ GÓMEZ</v>
          </cell>
          <cell r="G668" t="str">
            <v>ID2177823635</v>
          </cell>
        </row>
        <row r="669">
          <cell r="A669">
            <v>45490</v>
          </cell>
          <cell r="B669">
            <v>2024001152</v>
          </cell>
          <cell r="C669" t="str">
            <v>260-2024</v>
          </cell>
          <cell r="D669">
            <v>2000000</v>
          </cell>
          <cell r="E669">
            <v>1085261053</v>
          </cell>
          <cell r="F669" t="str">
            <v>ISABEL CRISTINA SANTACRUZ MUÑOZ</v>
          </cell>
          <cell r="G669" t="str">
            <v>ID2177823635</v>
          </cell>
        </row>
        <row r="670">
          <cell r="A670">
            <v>45491</v>
          </cell>
          <cell r="B670">
            <v>2024001155</v>
          </cell>
          <cell r="C670" t="str">
            <v>215-2024</v>
          </cell>
          <cell r="D670">
            <v>4750000</v>
          </cell>
          <cell r="E670">
            <v>1085303067</v>
          </cell>
          <cell r="F670" t="str">
            <v>CINDY ESTEFANIA GONZALES DEL CASTILLO</v>
          </cell>
          <cell r="G670" t="str">
            <v>ID2177823635</v>
          </cell>
        </row>
        <row r="671">
          <cell r="A671">
            <v>45491</v>
          </cell>
          <cell r="B671">
            <v>2024001156</v>
          </cell>
          <cell r="C671" t="str">
            <v>251-2024</v>
          </cell>
          <cell r="D671">
            <v>2000000</v>
          </cell>
          <cell r="E671">
            <v>1193218691</v>
          </cell>
          <cell r="F671" t="str">
            <v>BRENDA DAYANA TABLA PULISTAR</v>
          </cell>
          <cell r="G671" t="str">
            <v>ID2177823635</v>
          </cell>
        </row>
        <row r="672">
          <cell r="A672">
            <v>45491</v>
          </cell>
          <cell r="B672">
            <v>2024001157</v>
          </cell>
          <cell r="C672" t="str">
            <v>254-2024</v>
          </cell>
          <cell r="D672">
            <v>2000000</v>
          </cell>
          <cell r="E672">
            <v>1085316191</v>
          </cell>
          <cell r="F672" t="str">
            <v>MARIA HOMAIRA GUEVARA CORAL</v>
          </cell>
          <cell r="G672" t="str">
            <v>ID2177823635</v>
          </cell>
        </row>
        <row r="673">
          <cell r="A673">
            <v>45491</v>
          </cell>
          <cell r="B673">
            <v>2024001158</v>
          </cell>
          <cell r="C673" t="str">
            <v>368-2024</v>
          </cell>
          <cell r="D673">
            <v>2000000</v>
          </cell>
          <cell r="E673">
            <v>27211504</v>
          </cell>
          <cell r="F673" t="str">
            <v>YUDY LILIANA BENAVIDES OJEDA</v>
          </cell>
          <cell r="G673" t="str">
            <v>ID2177823635</v>
          </cell>
        </row>
        <row r="674">
          <cell r="A674">
            <v>45491</v>
          </cell>
          <cell r="B674">
            <v>2024001160</v>
          </cell>
          <cell r="C674" t="str">
            <v>148-2024</v>
          </cell>
          <cell r="D674">
            <v>4825600</v>
          </cell>
          <cell r="E674">
            <v>1085338534</v>
          </cell>
          <cell r="F674" t="str">
            <v>ANA VICTORIA ORTEGA GOMEZ</v>
          </cell>
          <cell r="G674" t="str">
            <v>ID2177823635</v>
          </cell>
        </row>
        <row r="675">
          <cell r="A675">
            <v>45491</v>
          </cell>
          <cell r="B675">
            <v>2024001161</v>
          </cell>
          <cell r="C675" t="str">
            <v>229-2024</v>
          </cell>
          <cell r="D675">
            <v>2000000</v>
          </cell>
          <cell r="E675">
            <v>59828916</v>
          </cell>
          <cell r="F675" t="str">
            <v xml:space="preserve">ROCIO DEL PILAR RIVERA </v>
          </cell>
          <cell r="G675" t="str">
            <v>ID2177823635</v>
          </cell>
        </row>
        <row r="676">
          <cell r="A676">
            <v>45491</v>
          </cell>
          <cell r="B676">
            <v>2024001154</v>
          </cell>
          <cell r="C676" t="str">
            <v>211-2024</v>
          </cell>
          <cell r="D676">
            <v>64529001</v>
          </cell>
          <cell r="E676">
            <v>900994364</v>
          </cell>
          <cell r="F676" t="str">
            <v>FUNDACIÓN CALIDAD DE VIDA Y ESPERANZA</v>
          </cell>
          <cell r="G676" t="str">
            <v>ID2177823635</v>
          </cell>
        </row>
        <row r="677">
          <cell r="A677">
            <v>45492</v>
          </cell>
          <cell r="B677">
            <v>2024001163</v>
          </cell>
          <cell r="C677" t="str">
            <v>377-2024</v>
          </cell>
          <cell r="D677">
            <v>4750000</v>
          </cell>
          <cell r="E677">
            <v>1233192618</v>
          </cell>
          <cell r="F677" t="str">
            <v>KARLA VALERIA AZA  CEPEDA</v>
          </cell>
          <cell r="G677" t="str">
            <v>ID2177823635</v>
          </cell>
        </row>
        <row r="678">
          <cell r="A678">
            <v>45495</v>
          </cell>
          <cell r="B678">
            <v>2024001170</v>
          </cell>
          <cell r="C678" t="str">
            <v>308-2024</v>
          </cell>
          <cell r="D678">
            <v>2000000</v>
          </cell>
          <cell r="E678">
            <v>5930737</v>
          </cell>
          <cell r="F678" t="str">
            <v>KARELIS NATALY ZHENG MONSALVE</v>
          </cell>
          <cell r="G678" t="str">
            <v>ID2177823635</v>
          </cell>
        </row>
        <row r="679">
          <cell r="A679">
            <v>45495</v>
          </cell>
          <cell r="B679">
            <v>2024001167</v>
          </cell>
          <cell r="C679" t="str">
            <v>204-2024</v>
          </cell>
          <cell r="D679">
            <v>4750000</v>
          </cell>
          <cell r="E679">
            <v>36953206</v>
          </cell>
          <cell r="F679" t="str">
            <v>NATALIA ANDREA LATORRE RUANO</v>
          </cell>
          <cell r="G679" t="str">
            <v>ID2177823635</v>
          </cell>
        </row>
        <row r="680">
          <cell r="A680">
            <v>45495</v>
          </cell>
          <cell r="B680">
            <v>2024001168</v>
          </cell>
          <cell r="C680" t="str">
            <v>156-2024</v>
          </cell>
          <cell r="D680">
            <v>7500000</v>
          </cell>
          <cell r="E680">
            <v>1085332934</v>
          </cell>
          <cell r="F680" t="str">
            <v>NELLY VANESSA ORDOÑEZ BASTIDAS</v>
          </cell>
          <cell r="G680" t="str">
            <v>ID2177823635</v>
          </cell>
        </row>
        <row r="681">
          <cell r="A681">
            <v>45495</v>
          </cell>
          <cell r="B681">
            <v>2024001169</v>
          </cell>
          <cell r="C681" t="str">
            <v>256-2024</v>
          </cell>
          <cell r="D681">
            <v>2000000</v>
          </cell>
          <cell r="E681">
            <v>1010113730</v>
          </cell>
          <cell r="F681" t="str">
            <v>DIANA MILENA PAZ NANDAR</v>
          </cell>
          <cell r="G681" t="str">
            <v>ID2177823635</v>
          </cell>
        </row>
        <row r="682">
          <cell r="A682">
            <v>45495</v>
          </cell>
          <cell r="B682">
            <v>2024001171</v>
          </cell>
          <cell r="C682" t="str">
            <v>261-2024</v>
          </cell>
          <cell r="D682">
            <v>4825600</v>
          </cell>
          <cell r="E682">
            <v>1085289739</v>
          </cell>
          <cell r="F682" t="str">
            <v>YULY LORENA CABRERA DELGADO</v>
          </cell>
          <cell r="G682" t="str">
            <v>ID2177823635</v>
          </cell>
        </row>
        <row r="683">
          <cell r="A683">
            <v>45496</v>
          </cell>
          <cell r="B683">
            <v>2024001177</v>
          </cell>
          <cell r="C683" t="str">
            <v>255-2024</v>
          </cell>
          <cell r="D683">
            <v>2000000</v>
          </cell>
          <cell r="E683">
            <v>1085347540</v>
          </cell>
          <cell r="F683" t="str">
            <v>DANIELA ALEXANDRA PABON YARPAS</v>
          </cell>
          <cell r="G683" t="str">
            <v>ID2177823635</v>
          </cell>
        </row>
        <row r="684">
          <cell r="A684">
            <v>45496</v>
          </cell>
          <cell r="B684">
            <v>2024001178</v>
          </cell>
          <cell r="C684" t="str">
            <v>385-2024</v>
          </cell>
          <cell r="D684">
            <v>7500000</v>
          </cell>
          <cell r="E684">
            <v>1085345430</v>
          </cell>
          <cell r="F684" t="str">
            <v>MARIA CAMILA PAZ ARCOS</v>
          </cell>
          <cell r="G684" t="str">
            <v>ID2177823635</v>
          </cell>
        </row>
        <row r="685">
          <cell r="A685">
            <v>45496</v>
          </cell>
          <cell r="B685">
            <v>2024001179</v>
          </cell>
          <cell r="C685" t="str">
            <v>366-2024</v>
          </cell>
          <cell r="D685">
            <v>2000000</v>
          </cell>
          <cell r="E685">
            <v>1137624011</v>
          </cell>
          <cell r="F685" t="str">
            <v>KAROL DAYANA TONGUINO TORO</v>
          </cell>
          <cell r="G685" t="str">
            <v>ID2177823635</v>
          </cell>
        </row>
        <row r="686">
          <cell r="A686">
            <v>45496</v>
          </cell>
          <cell r="B686">
            <v>2024001184</v>
          </cell>
          <cell r="C686" t="str">
            <v>153-2024</v>
          </cell>
          <cell r="D686">
            <v>7500000</v>
          </cell>
          <cell r="E686">
            <v>1085320661</v>
          </cell>
          <cell r="F686" t="str">
            <v>JHEIBER BRANLLERT DULCE MUÑOZ</v>
          </cell>
          <cell r="G686" t="str">
            <v>ID2177823635</v>
          </cell>
        </row>
        <row r="687">
          <cell r="A687">
            <v>45496</v>
          </cell>
          <cell r="B687">
            <v>2024001186</v>
          </cell>
          <cell r="C687" t="str">
            <v>249-2024</v>
          </cell>
          <cell r="D687">
            <v>2000000</v>
          </cell>
          <cell r="E687">
            <v>59830040</v>
          </cell>
          <cell r="F687" t="str">
            <v>ANA CLEMENCIA BASTIDAS CERON</v>
          </cell>
          <cell r="G687" t="str">
            <v>ID2177823635</v>
          </cell>
        </row>
        <row r="688">
          <cell r="A688">
            <v>45497</v>
          </cell>
          <cell r="B688">
            <v>2024001193</v>
          </cell>
          <cell r="C688" t="str">
            <v>146-2024</v>
          </cell>
          <cell r="D688">
            <v>2000000</v>
          </cell>
          <cell r="E688">
            <v>1085302942</v>
          </cell>
          <cell r="F688" t="str">
            <v>MARIA CAMILA PAREDEZ TIMANA</v>
          </cell>
          <cell r="G688" t="str">
            <v>ID2177823635</v>
          </cell>
        </row>
        <row r="689">
          <cell r="A689">
            <v>45497</v>
          </cell>
          <cell r="B689">
            <v>2024001194</v>
          </cell>
          <cell r="C689" t="str">
            <v>150-2024</v>
          </cell>
          <cell r="D689">
            <v>2000000</v>
          </cell>
          <cell r="E689">
            <v>1004635031</v>
          </cell>
          <cell r="F689" t="str">
            <v>ASTRID CAROLINA CAICEDO LUNA</v>
          </cell>
          <cell r="G689" t="str">
            <v>ID2177823635</v>
          </cell>
        </row>
        <row r="690">
          <cell r="A690">
            <v>45497</v>
          </cell>
          <cell r="B690">
            <v>2024001195</v>
          </cell>
          <cell r="C690" t="str">
            <v>217-2024</v>
          </cell>
          <cell r="D690">
            <v>4825600</v>
          </cell>
          <cell r="E690">
            <v>1085267184</v>
          </cell>
          <cell r="F690" t="str">
            <v>ANGELA PAOLA BOLAÐOS ARGOTI</v>
          </cell>
          <cell r="G690" t="str">
            <v>ID2177823635</v>
          </cell>
        </row>
        <row r="691">
          <cell r="A691">
            <v>45498</v>
          </cell>
          <cell r="B691">
            <v>2024001210</v>
          </cell>
          <cell r="C691" t="str">
            <v>374-2024</v>
          </cell>
          <cell r="D691">
            <v>2000000</v>
          </cell>
          <cell r="E691">
            <v>36752202</v>
          </cell>
          <cell r="F691" t="str">
            <v>PAULA ANDREA ROCHA DELGADO</v>
          </cell>
          <cell r="G691" t="str">
            <v>ID2177823635</v>
          </cell>
        </row>
        <row r="692">
          <cell r="A692">
            <v>45502</v>
          </cell>
          <cell r="B692">
            <v>2024001279</v>
          </cell>
          <cell r="C692" t="str">
            <v>170-2024</v>
          </cell>
          <cell r="D692">
            <v>4825600</v>
          </cell>
          <cell r="E692">
            <v>37082349</v>
          </cell>
          <cell r="F692" t="str">
            <v>PAULA XIMENA CHÁVES PASMIÑO</v>
          </cell>
          <cell r="G692" t="str">
            <v>ID2177823635</v>
          </cell>
        </row>
        <row r="693">
          <cell r="A693">
            <v>45502</v>
          </cell>
          <cell r="B693">
            <v>2024001280</v>
          </cell>
          <cell r="C693" t="str">
            <v>152-2024</v>
          </cell>
          <cell r="D693">
            <v>4750000</v>
          </cell>
          <cell r="E693">
            <v>1085260497</v>
          </cell>
          <cell r="F693" t="str">
            <v>JOSE FERNANDO CHAÑA QUENGUAN</v>
          </cell>
          <cell r="G693" t="str">
            <v>ID2177823635</v>
          </cell>
        </row>
        <row r="694">
          <cell r="A694">
            <v>45502</v>
          </cell>
          <cell r="B694">
            <v>2024001281</v>
          </cell>
          <cell r="C694" t="str">
            <v>145-2024</v>
          </cell>
          <cell r="D694">
            <v>2000000</v>
          </cell>
          <cell r="E694">
            <v>1030606749</v>
          </cell>
          <cell r="F694" t="str">
            <v>ANGELA EDITH GONZALEZ PIANDA</v>
          </cell>
          <cell r="G694" t="str">
            <v>ID2177823635</v>
          </cell>
        </row>
        <row r="695">
          <cell r="A695">
            <v>45502</v>
          </cell>
          <cell r="B695">
            <v>2024001282</v>
          </cell>
          <cell r="C695" t="str">
            <v>179-2024</v>
          </cell>
          <cell r="D695">
            <v>4750000</v>
          </cell>
          <cell r="E695">
            <v>59816986</v>
          </cell>
          <cell r="F695" t="str">
            <v>INÉS MERCEDES LÓPEZ TORRES</v>
          </cell>
          <cell r="G695" t="str">
            <v>ID2177823635</v>
          </cell>
        </row>
        <row r="696">
          <cell r="A696">
            <v>45502</v>
          </cell>
          <cell r="B696">
            <v>2024001283</v>
          </cell>
          <cell r="C696" t="str">
            <v>272-2024</v>
          </cell>
          <cell r="D696">
            <v>2000000</v>
          </cell>
          <cell r="E696">
            <v>1081592303</v>
          </cell>
          <cell r="F696" t="str">
            <v>MARILIN  ZAMBRANO OBANDO</v>
          </cell>
          <cell r="G696" t="str">
            <v>ID2177823635</v>
          </cell>
        </row>
        <row r="697">
          <cell r="A697">
            <v>45502</v>
          </cell>
          <cell r="B697">
            <v>2024001284</v>
          </cell>
          <cell r="C697" t="str">
            <v>181-2024</v>
          </cell>
          <cell r="D697">
            <v>6000000</v>
          </cell>
          <cell r="E697">
            <v>37013610</v>
          </cell>
          <cell r="F697" t="str">
            <v>MARIA  IDER CASANOVA BURBANO</v>
          </cell>
          <cell r="G697" t="str">
            <v>ID2177823635</v>
          </cell>
        </row>
        <row r="698">
          <cell r="A698">
            <v>45502</v>
          </cell>
          <cell r="B698">
            <v>2024001285</v>
          </cell>
          <cell r="C698" t="str">
            <v>271-2024</v>
          </cell>
          <cell r="D698">
            <v>2000000</v>
          </cell>
          <cell r="E698">
            <v>59813323</v>
          </cell>
          <cell r="F698" t="str">
            <v>GARCIA JOJOA EDITH CRISTINA</v>
          </cell>
          <cell r="G698" t="str">
            <v>ID2177823635</v>
          </cell>
        </row>
        <row r="699">
          <cell r="A699">
            <v>45502</v>
          </cell>
          <cell r="B699">
            <v>2024001286</v>
          </cell>
          <cell r="C699" t="str">
            <v>270-2024</v>
          </cell>
          <cell r="D699">
            <v>7500000</v>
          </cell>
          <cell r="E699">
            <v>7603662</v>
          </cell>
          <cell r="F699" t="str">
            <v>FERNANDO ALBERTO ROMERO SOLANO</v>
          </cell>
          <cell r="G699" t="str">
            <v>ID2177823635</v>
          </cell>
        </row>
        <row r="700">
          <cell r="A700">
            <v>45502</v>
          </cell>
          <cell r="B700">
            <v>2024001288</v>
          </cell>
          <cell r="C700" t="str">
            <v>194-2024</v>
          </cell>
          <cell r="D700">
            <v>2000000</v>
          </cell>
          <cell r="E700">
            <v>1004508436</v>
          </cell>
          <cell r="F700" t="str">
            <v>VALERIA FERNANDA CUASQUER CANTUCA</v>
          </cell>
          <cell r="G700" t="str">
            <v>ID2177823635</v>
          </cell>
        </row>
        <row r="701">
          <cell r="A701">
            <v>45502</v>
          </cell>
          <cell r="B701">
            <v>2024001289</v>
          </cell>
          <cell r="C701" t="str">
            <v>279-2024</v>
          </cell>
          <cell r="D701">
            <v>2000000</v>
          </cell>
          <cell r="E701">
            <v>59178610</v>
          </cell>
          <cell r="F701" t="str">
            <v>MONICA PATRICIA PANTOJA DUEÑAS</v>
          </cell>
          <cell r="G701" t="str">
            <v>ID2177823635</v>
          </cell>
        </row>
        <row r="702">
          <cell r="A702">
            <v>45502</v>
          </cell>
          <cell r="B702">
            <v>2024001290</v>
          </cell>
          <cell r="C702" t="str">
            <v>159-2024</v>
          </cell>
          <cell r="D702">
            <v>2000000</v>
          </cell>
          <cell r="E702">
            <v>1085317833</v>
          </cell>
          <cell r="F702" t="str">
            <v>ANGIE VIVIANA SACANAMBUY PAZ</v>
          </cell>
          <cell r="G702" t="str">
            <v>ID2177823635</v>
          </cell>
        </row>
        <row r="703">
          <cell r="A703">
            <v>45502</v>
          </cell>
          <cell r="B703">
            <v>2024001291</v>
          </cell>
          <cell r="C703" t="str">
            <v>386-2024</v>
          </cell>
          <cell r="D703">
            <v>6000000</v>
          </cell>
          <cell r="E703">
            <v>1010010954</v>
          </cell>
          <cell r="F703" t="str">
            <v>JULIANA VALENTINA MENDEZ ORTÍZ</v>
          </cell>
          <cell r="G703" t="str">
            <v>ID2177823635</v>
          </cell>
        </row>
        <row r="704">
          <cell r="A704">
            <v>45502</v>
          </cell>
          <cell r="B704">
            <v>2024001292</v>
          </cell>
          <cell r="C704" t="str">
            <v>250-2024</v>
          </cell>
          <cell r="D704">
            <v>2000000</v>
          </cell>
          <cell r="E704">
            <v>1085324107</v>
          </cell>
          <cell r="F704" t="str">
            <v>CAROLINA  NASTACUAS PAI</v>
          </cell>
          <cell r="G704" t="str">
            <v>ID2177823635</v>
          </cell>
        </row>
        <row r="705">
          <cell r="A705">
            <v>45502</v>
          </cell>
          <cell r="B705">
            <v>2024001293</v>
          </cell>
          <cell r="C705" t="str">
            <v>250-2024</v>
          </cell>
          <cell r="D705">
            <v>2000000</v>
          </cell>
          <cell r="E705">
            <v>1085324107</v>
          </cell>
          <cell r="F705" t="str">
            <v>CAROLINA  NASTACUAS PAI</v>
          </cell>
          <cell r="G705" t="str">
            <v>ID2177823635</v>
          </cell>
        </row>
        <row r="706">
          <cell r="A706">
            <v>45503</v>
          </cell>
          <cell r="B706">
            <v>2024001301</v>
          </cell>
          <cell r="C706" t="str">
            <v>169-2024</v>
          </cell>
          <cell r="D706">
            <v>7500000</v>
          </cell>
          <cell r="E706">
            <v>1088599676</v>
          </cell>
          <cell r="F706" t="str">
            <v>DANIEL GERARDO ERAZO OVIEDO</v>
          </cell>
          <cell r="G706" t="str">
            <v>ID2177823635</v>
          </cell>
        </row>
        <row r="707">
          <cell r="A707">
            <v>45503</v>
          </cell>
          <cell r="B707">
            <v>2024001302</v>
          </cell>
          <cell r="C707" t="str">
            <v>185-2024</v>
          </cell>
          <cell r="D707">
            <v>2000000</v>
          </cell>
          <cell r="E707">
            <v>1193224810</v>
          </cell>
          <cell r="F707" t="str">
            <v>EVELYN  FERNANDA ACOSTA CHICAIZA</v>
          </cell>
          <cell r="G707" t="str">
            <v>ID2177823635</v>
          </cell>
        </row>
        <row r="708">
          <cell r="A708">
            <v>45503</v>
          </cell>
          <cell r="B708">
            <v>2024001303</v>
          </cell>
          <cell r="C708" t="str">
            <v>230-2024</v>
          </cell>
          <cell r="D708">
            <v>4825600</v>
          </cell>
          <cell r="E708">
            <v>1088730712</v>
          </cell>
          <cell r="F708" t="str">
            <v>ANGELA PATRICIA BASTIDAS  MELO</v>
          </cell>
          <cell r="G708" t="str">
            <v>ID2177823635</v>
          </cell>
        </row>
        <row r="709">
          <cell r="A709">
            <v>45503</v>
          </cell>
          <cell r="B709">
            <v>2024001304</v>
          </cell>
          <cell r="C709" t="str">
            <v>403-2024</v>
          </cell>
          <cell r="D709">
            <v>4825600</v>
          </cell>
          <cell r="E709">
            <v>12983807</v>
          </cell>
          <cell r="F709" t="str">
            <v>RICARDO  ENRIQUE VEGA MERA</v>
          </cell>
          <cell r="G709" t="str">
            <v>ID2177823635</v>
          </cell>
        </row>
        <row r="710">
          <cell r="A710">
            <v>45503</v>
          </cell>
          <cell r="B710">
            <v>2024001305</v>
          </cell>
          <cell r="C710" t="str">
            <v>258-2024</v>
          </cell>
          <cell r="D710">
            <v>2000000</v>
          </cell>
          <cell r="E710">
            <v>27285974</v>
          </cell>
          <cell r="F710" t="str">
            <v>LUZDARI  JARAMILLO NOGUERA</v>
          </cell>
          <cell r="G710" t="str">
            <v>ID2177823635</v>
          </cell>
        </row>
        <row r="711">
          <cell r="A711">
            <v>45503</v>
          </cell>
          <cell r="B711">
            <v>2024001306</v>
          </cell>
          <cell r="C711" t="str">
            <v>175-2024</v>
          </cell>
          <cell r="D711">
            <v>2000000</v>
          </cell>
          <cell r="E711">
            <v>1085318688</v>
          </cell>
          <cell r="F711" t="str">
            <v>DARLLY ROXANA ROSERO TIMARÁN</v>
          </cell>
          <cell r="G711" t="str">
            <v>ID2177823635</v>
          </cell>
        </row>
        <row r="712">
          <cell r="A712">
            <v>45504</v>
          </cell>
          <cell r="B712">
            <v>2024001307</v>
          </cell>
          <cell r="C712" t="str">
            <v>376-2024</v>
          </cell>
          <cell r="D712">
            <v>4825600</v>
          </cell>
          <cell r="E712">
            <v>30732782</v>
          </cell>
          <cell r="F712" t="str">
            <v>ANA  MILENA ROSERO SANTANDER</v>
          </cell>
          <cell r="G712" t="str">
            <v>ID2177823635</v>
          </cell>
        </row>
        <row r="713">
          <cell r="A713">
            <v>45504</v>
          </cell>
          <cell r="B713">
            <v>2024001308</v>
          </cell>
          <cell r="C713" t="str">
            <v>201-2024</v>
          </cell>
          <cell r="D713">
            <v>2000000</v>
          </cell>
          <cell r="E713">
            <v>1085260568</v>
          </cell>
          <cell r="F713" t="str">
            <v>SONIA PATRICIA ESPANA TAPIA</v>
          </cell>
          <cell r="G713" t="str">
            <v>ID2177823635</v>
          </cell>
        </row>
        <row r="714">
          <cell r="A714">
            <v>45504</v>
          </cell>
          <cell r="B714">
            <v>2024001309</v>
          </cell>
          <cell r="C714" t="str">
            <v>174-2024</v>
          </cell>
          <cell r="D714">
            <v>2000000</v>
          </cell>
          <cell r="E714">
            <v>1004410201</v>
          </cell>
          <cell r="F714" t="str">
            <v>JAIRO  ALBERTO MAIGUAL MIRAMAG</v>
          </cell>
          <cell r="G714" t="str">
            <v>ID2177823635</v>
          </cell>
        </row>
        <row r="715">
          <cell r="A715">
            <v>45504</v>
          </cell>
          <cell r="B715">
            <v>2024001310</v>
          </cell>
          <cell r="C715" t="str">
            <v>171-2024</v>
          </cell>
          <cell r="D715">
            <v>2000000</v>
          </cell>
          <cell r="E715">
            <v>1085288636</v>
          </cell>
          <cell r="F715" t="str">
            <v>DIANA SOFIA AYALA DIAZ</v>
          </cell>
          <cell r="G715" t="str">
            <v>ID2177823635</v>
          </cell>
        </row>
        <row r="716">
          <cell r="A716">
            <v>45504</v>
          </cell>
          <cell r="B716">
            <v>2024001311</v>
          </cell>
          <cell r="C716" t="str">
            <v>189-2024</v>
          </cell>
          <cell r="D716">
            <v>2000000</v>
          </cell>
          <cell r="E716">
            <v>59837416</v>
          </cell>
          <cell r="F716" t="str">
            <v>RUTH INGRITH DIAZ VALERO</v>
          </cell>
          <cell r="G716" t="str">
            <v>ID2177823635</v>
          </cell>
        </row>
        <row r="717">
          <cell r="A717">
            <v>45504</v>
          </cell>
          <cell r="B717">
            <v>2024001315</v>
          </cell>
          <cell r="C717" t="str">
            <v>277-2024</v>
          </cell>
          <cell r="D717">
            <v>2000000</v>
          </cell>
          <cell r="E717">
            <v>1004726758</v>
          </cell>
          <cell r="F717" t="str">
            <v>NORIDA JULIETH TOBAR ARTEAGA</v>
          </cell>
          <cell r="G717" t="str">
            <v>ID2177823635</v>
          </cell>
        </row>
        <row r="718">
          <cell r="A718">
            <v>45504</v>
          </cell>
          <cell r="B718">
            <v>2024001316</v>
          </cell>
          <cell r="C718" t="str">
            <v>382-2024</v>
          </cell>
          <cell r="D718">
            <v>6000000</v>
          </cell>
          <cell r="E718">
            <v>36954410</v>
          </cell>
          <cell r="F718" t="str">
            <v>KARINA MARIBEL LUNA LOPEZ</v>
          </cell>
          <cell r="G718" t="str">
            <v>ID2177823635</v>
          </cell>
        </row>
        <row r="719">
          <cell r="A719">
            <v>45504</v>
          </cell>
          <cell r="B719">
            <v>2024001317</v>
          </cell>
          <cell r="C719" t="str">
            <v>257-2024</v>
          </cell>
          <cell r="D719">
            <v>4750000</v>
          </cell>
          <cell r="E719">
            <v>1085318684</v>
          </cell>
          <cell r="F719" t="str">
            <v>JENIFER  AREVALO CRIOLLO</v>
          </cell>
          <cell r="G719" t="str">
            <v>ID2177823635</v>
          </cell>
        </row>
        <row r="720">
          <cell r="A720">
            <v>45679</v>
          </cell>
          <cell r="B720">
            <v>2025000029</v>
          </cell>
          <cell r="C720" t="str">
            <v>868-2024</v>
          </cell>
          <cell r="D720">
            <v>252000</v>
          </cell>
          <cell r="E720">
            <v>36757221</v>
          </cell>
          <cell r="F720" t="str">
            <v>FANNY MARIELA CORDOBA MORENO</v>
          </cell>
          <cell r="G720" t="str">
            <v>ID2177823635</v>
          </cell>
        </row>
        <row r="721">
          <cell r="A721">
            <v>45680</v>
          </cell>
          <cell r="B721">
            <v>2025000035</v>
          </cell>
          <cell r="C721" t="str">
            <v>871-2024</v>
          </cell>
          <cell r="D721">
            <v>129000</v>
          </cell>
          <cell r="E721">
            <v>37083086</v>
          </cell>
          <cell r="F721" t="str">
            <v>KAROL IVONNE BURBANO ROSERO</v>
          </cell>
          <cell r="G721" t="str">
            <v>ID2177823635</v>
          </cell>
        </row>
        <row r="722">
          <cell r="A722">
            <v>45685</v>
          </cell>
          <cell r="B722">
            <v>2025000037</v>
          </cell>
          <cell r="C722" t="str">
            <v>652-2024</v>
          </cell>
          <cell r="D722">
            <v>252000</v>
          </cell>
          <cell r="E722">
            <v>1010010954</v>
          </cell>
          <cell r="F722" t="str">
            <v>JULIANA VALENTINA MENDEZ ORTÍZ</v>
          </cell>
          <cell r="G722" t="str">
            <v>ID2177823635</v>
          </cell>
        </row>
        <row r="723">
          <cell r="A723">
            <v>45735</v>
          </cell>
          <cell r="B723">
            <v>2025000317</v>
          </cell>
          <cell r="C723" t="str">
            <v>701-2024</v>
          </cell>
          <cell r="D723">
            <v>2000000</v>
          </cell>
          <cell r="E723">
            <v>1085324107</v>
          </cell>
          <cell r="F723" t="str">
            <v>CAROLINA  NASTACUAS PAI</v>
          </cell>
          <cell r="G723" t="str">
            <v>ID2177823635</v>
          </cell>
        </row>
        <row r="724">
          <cell r="A724">
            <v>45736</v>
          </cell>
          <cell r="B724">
            <v>2025000374</v>
          </cell>
          <cell r="C724" t="str">
            <v>959-2024</v>
          </cell>
          <cell r="D724">
            <v>3000000</v>
          </cell>
          <cell r="E724">
            <v>1193035720</v>
          </cell>
          <cell r="F724" t="str">
            <v>KAREN JULIANA ERAZO JURADO</v>
          </cell>
          <cell r="G724" t="str">
            <v>ID2177823635</v>
          </cell>
        </row>
        <row r="725">
          <cell r="A725">
            <v>45736</v>
          </cell>
          <cell r="B725">
            <v>2025000388</v>
          </cell>
          <cell r="C725" t="str">
            <v>837-2024</v>
          </cell>
          <cell r="D725">
            <v>5000000</v>
          </cell>
          <cell r="E725">
            <v>1193265831</v>
          </cell>
          <cell r="F725" t="str">
            <v>NAYIBE MARCELA LARA MATABANCHOY</v>
          </cell>
          <cell r="G725" t="str">
            <v>ID2177823635</v>
          </cell>
        </row>
        <row r="726">
          <cell r="A726">
            <v>45791</v>
          </cell>
          <cell r="B726">
            <v>2025000686</v>
          </cell>
          <cell r="C726" t="str">
            <v>198-2025</v>
          </cell>
          <cell r="D726">
            <v>6000000</v>
          </cell>
          <cell r="E726">
            <v>1085292185</v>
          </cell>
          <cell r="F726" t="str">
            <v>BRIGITT MARCELA BURBANO PUPIALES</v>
          </cell>
          <cell r="G726" t="str">
            <v>ID2177823635</v>
          </cell>
        </row>
        <row r="727">
          <cell r="A727">
            <v>45791</v>
          </cell>
          <cell r="B727">
            <v>2025000690</v>
          </cell>
          <cell r="C727" t="str">
            <v>222-2025</v>
          </cell>
          <cell r="D727">
            <v>4750000</v>
          </cell>
          <cell r="E727">
            <v>27087475</v>
          </cell>
          <cell r="F727" t="str">
            <v>JANETH EMILSE DIAZ  ARCINIEGAS</v>
          </cell>
          <cell r="G727" t="str">
            <v>ID2177823635</v>
          </cell>
        </row>
        <row r="728">
          <cell r="A728">
            <v>45793</v>
          </cell>
          <cell r="B728">
            <v>2025000711</v>
          </cell>
          <cell r="C728" t="str">
            <v>205-2025</v>
          </cell>
          <cell r="D728">
            <v>4825000</v>
          </cell>
          <cell r="E728">
            <v>1085267184</v>
          </cell>
          <cell r="F728" t="str">
            <v>ANGELA PAOLA BOLAÐOS ARGOTI</v>
          </cell>
          <cell r="G728" t="str">
            <v>ID2177823635</v>
          </cell>
        </row>
        <row r="729">
          <cell r="A729">
            <v>45793</v>
          </cell>
          <cell r="B729">
            <v>2025000717</v>
          </cell>
          <cell r="C729" t="str">
            <v>155-2025</v>
          </cell>
          <cell r="D729">
            <v>2500000</v>
          </cell>
          <cell r="E729">
            <v>1085320930</v>
          </cell>
          <cell r="F729" t="str">
            <v>LINA YEZMIN DE LA CRUZ CUSIS</v>
          </cell>
          <cell r="G729" t="str">
            <v>ID2177823635</v>
          </cell>
        </row>
        <row r="730">
          <cell r="A730">
            <v>45604</v>
          </cell>
          <cell r="B730">
            <v>2024002372</v>
          </cell>
          <cell r="C730" t="str">
            <v>657-2024</v>
          </cell>
          <cell r="D730">
            <v>7540000</v>
          </cell>
          <cell r="E730">
            <v>1085304670</v>
          </cell>
          <cell r="F730" t="str">
            <v>PAOLA ANDREA VELEZ BOLAÑOS</v>
          </cell>
          <cell r="G730" t="str">
            <v>ID2177823635</v>
          </cell>
        </row>
        <row r="731">
          <cell r="A731">
            <v>45609</v>
          </cell>
          <cell r="B731">
            <v>2024002374</v>
          </cell>
          <cell r="C731" t="str">
            <v>667-2024</v>
          </cell>
          <cell r="D731">
            <v>6000000</v>
          </cell>
          <cell r="E731">
            <v>59820414</v>
          </cell>
          <cell r="F731" t="str">
            <v>CORDOBA ARTEAGA CARMEN PATRICIA</v>
          </cell>
          <cell r="G731" t="str">
            <v>ID2177823635</v>
          </cell>
        </row>
        <row r="732">
          <cell r="A732">
            <v>45610</v>
          </cell>
          <cell r="B732">
            <v>2024002398</v>
          </cell>
          <cell r="C732" t="str">
            <v>690-2024</v>
          </cell>
          <cell r="D732">
            <v>6000000</v>
          </cell>
          <cell r="E732">
            <v>27097289</v>
          </cell>
          <cell r="F732" t="str">
            <v>BLANCA MELVA GAVIRIA BRAVO</v>
          </cell>
          <cell r="G732" t="str">
            <v>ID2177823635</v>
          </cell>
        </row>
        <row r="733">
          <cell r="A733">
            <v>45610</v>
          </cell>
          <cell r="B733">
            <v>2024002400</v>
          </cell>
          <cell r="C733" t="str">
            <v>655-2024</v>
          </cell>
          <cell r="D733">
            <v>7540000</v>
          </cell>
          <cell r="E733">
            <v>1151934571</v>
          </cell>
          <cell r="F733" t="str">
            <v>ANGELA MARCELA OBANDO BASTIDAS</v>
          </cell>
          <cell r="G733" t="str">
            <v>ID2177823635</v>
          </cell>
        </row>
        <row r="734">
          <cell r="A734">
            <v>45610</v>
          </cell>
          <cell r="B734">
            <v>2024002401</v>
          </cell>
          <cell r="C734" t="str">
            <v>760-2024</v>
          </cell>
          <cell r="D734">
            <v>6000000</v>
          </cell>
          <cell r="E734">
            <v>1085286476</v>
          </cell>
          <cell r="F734" t="str">
            <v>ELIANA STEPHANIE CAICEDO ALVAREZ</v>
          </cell>
          <cell r="G734" t="str">
            <v>ID2177823635</v>
          </cell>
        </row>
        <row r="735">
          <cell r="A735">
            <v>45610</v>
          </cell>
          <cell r="B735">
            <v>2024002404</v>
          </cell>
          <cell r="C735" t="str">
            <v>663-2024</v>
          </cell>
          <cell r="D735">
            <v>7540000</v>
          </cell>
          <cell r="E735">
            <v>1085336362</v>
          </cell>
          <cell r="F735" t="str">
            <v>SOFIA ESMERALDA MEJIA ORTÍZ</v>
          </cell>
          <cell r="G735" t="str">
            <v>ID2177823635</v>
          </cell>
        </row>
        <row r="736">
          <cell r="A736">
            <v>45610</v>
          </cell>
          <cell r="B736">
            <v>2024002406</v>
          </cell>
          <cell r="C736" t="str">
            <v>750-2024</v>
          </cell>
          <cell r="D736">
            <v>3000000</v>
          </cell>
          <cell r="E736">
            <v>1085326198</v>
          </cell>
          <cell r="F736" t="str">
            <v>LEIDI YURANI RAMOS CORDOBA</v>
          </cell>
          <cell r="G736" t="str">
            <v>ID2177823635</v>
          </cell>
        </row>
        <row r="737">
          <cell r="A737">
            <v>45610</v>
          </cell>
          <cell r="B737">
            <v>2024002407</v>
          </cell>
          <cell r="C737" t="str">
            <v>719-2024</v>
          </cell>
          <cell r="D737">
            <v>3000000</v>
          </cell>
          <cell r="E737">
            <v>1088799034</v>
          </cell>
          <cell r="F737" t="str">
            <v>GREACE  ALEJANDRA CALPA CAICEDO</v>
          </cell>
          <cell r="G737" t="str">
            <v>ID2177823635</v>
          </cell>
        </row>
        <row r="738">
          <cell r="A738">
            <v>45610</v>
          </cell>
          <cell r="B738">
            <v>2024002408</v>
          </cell>
          <cell r="C738" t="str">
            <v>703-2024</v>
          </cell>
          <cell r="D738">
            <v>3000000</v>
          </cell>
          <cell r="E738">
            <v>1085295383</v>
          </cell>
          <cell r="F738" t="str">
            <v>ELOISA YERALDINE FREYRE GOMEZ</v>
          </cell>
          <cell r="G738" t="str">
            <v>ID2177823635</v>
          </cell>
        </row>
        <row r="739">
          <cell r="A739">
            <v>45610</v>
          </cell>
          <cell r="B739">
            <v>2024002410</v>
          </cell>
          <cell r="C739" t="str">
            <v>799-2024</v>
          </cell>
          <cell r="D739">
            <v>3000000</v>
          </cell>
          <cell r="E739">
            <v>1085331508</v>
          </cell>
          <cell r="F739" t="str">
            <v>NESLY YANID MUÑOZ ORTÍZ</v>
          </cell>
          <cell r="G739" t="str">
            <v>ID2177823635</v>
          </cell>
        </row>
        <row r="740">
          <cell r="A740">
            <v>45610</v>
          </cell>
          <cell r="B740">
            <v>2024002411</v>
          </cell>
          <cell r="C740" t="str">
            <v>738-2024</v>
          </cell>
          <cell r="D740">
            <v>6000000</v>
          </cell>
          <cell r="E740">
            <v>1085275879</v>
          </cell>
          <cell r="F740" t="str">
            <v>DANIELA FERNANDA ERASO VALENCIA</v>
          </cell>
          <cell r="G740" t="str">
            <v>ID2177823635</v>
          </cell>
        </row>
        <row r="741">
          <cell r="A741">
            <v>45610</v>
          </cell>
          <cell r="B741">
            <v>2024002415</v>
          </cell>
          <cell r="C741" t="str">
            <v>672-2024</v>
          </cell>
          <cell r="D741">
            <v>6000000</v>
          </cell>
          <cell r="E741">
            <v>1085254626</v>
          </cell>
          <cell r="F741" t="str">
            <v>CAROLINA ISABEL PORTILLA TEPUD</v>
          </cell>
          <cell r="G741" t="str">
            <v>ID2177823635</v>
          </cell>
        </row>
        <row r="742">
          <cell r="A742">
            <v>45610</v>
          </cell>
          <cell r="B742">
            <v>2024002416</v>
          </cell>
          <cell r="C742" t="str">
            <v>731-2024</v>
          </cell>
          <cell r="D742">
            <v>3000000</v>
          </cell>
          <cell r="E742">
            <v>1085261053</v>
          </cell>
          <cell r="F742" t="str">
            <v>ISABEL CRISTINA SANTACRUZ MUÑOZ</v>
          </cell>
          <cell r="G742" t="str">
            <v>ID2177823635</v>
          </cell>
        </row>
        <row r="743">
          <cell r="A743">
            <v>45610</v>
          </cell>
          <cell r="B743">
            <v>2024002417</v>
          </cell>
          <cell r="C743" t="str">
            <v>898-2024</v>
          </cell>
          <cell r="D743">
            <v>4750000</v>
          </cell>
          <cell r="E743">
            <v>27087475</v>
          </cell>
          <cell r="F743" t="str">
            <v>JANETH EMILSE DIAZ  ARCINIEGAS</v>
          </cell>
          <cell r="G743" t="str">
            <v>ID2177823635</v>
          </cell>
        </row>
        <row r="744">
          <cell r="A744">
            <v>45610</v>
          </cell>
          <cell r="B744">
            <v>2024002418</v>
          </cell>
          <cell r="C744" t="str">
            <v>851-2024</v>
          </cell>
          <cell r="D744">
            <v>6000000</v>
          </cell>
          <cell r="E744">
            <v>1085313872</v>
          </cell>
          <cell r="F744" t="str">
            <v>NIKOLE CAROLAY IBAÑEZ ALVAREZ</v>
          </cell>
          <cell r="G744" t="str">
            <v>ID2177823635</v>
          </cell>
        </row>
        <row r="745">
          <cell r="A745">
            <v>45611</v>
          </cell>
          <cell r="B745">
            <v>2024002427</v>
          </cell>
          <cell r="C745" t="str">
            <v>945-2024</v>
          </cell>
          <cell r="D745">
            <v>9853200</v>
          </cell>
          <cell r="E745">
            <v>830004892</v>
          </cell>
          <cell r="F745" t="str">
            <v>TECNICA ELECTRO MEDICA S.A.</v>
          </cell>
          <cell r="G745" t="str">
            <v>ID2177823635</v>
          </cell>
        </row>
        <row r="746">
          <cell r="A746">
            <v>45614</v>
          </cell>
          <cell r="B746">
            <v>2024002440</v>
          </cell>
          <cell r="C746" t="str">
            <v>741-2024</v>
          </cell>
          <cell r="D746">
            <v>6000000</v>
          </cell>
          <cell r="E746">
            <v>1082748420</v>
          </cell>
          <cell r="F746" t="str">
            <v>NATHALIA  ROSERO RODRIGUEZ</v>
          </cell>
          <cell r="G746" t="str">
            <v>ID2177823635</v>
          </cell>
        </row>
        <row r="747">
          <cell r="A747">
            <v>45614</v>
          </cell>
          <cell r="B747">
            <v>2024002441</v>
          </cell>
          <cell r="C747" t="str">
            <v>819-2024</v>
          </cell>
          <cell r="D747">
            <v>6000000</v>
          </cell>
          <cell r="E747">
            <v>1085320275</v>
          </cell>
          <cell r="F747" t="str">
            <v>KAREN NATALIA ACOSTA MUÑOZ</v>
          </cell>
          <cell r="G747" t="str">
            <v>ID2177823635</v>
          </cell>
        </row>
        <row r="748">
          <cell r="A748">
            <v>45614</v>
          </cell>
          <cell r="B748">
            <v>2024002442</v>
          </cell>
          <cell r="C748" t="str">
            <v>822-2024</v>
          </cell>
          <cell r="D748">
            <v>4825000</v>
          </cell>
          <cell r="E748">
            <v>1085273986</v>
          </cell>
          <cell r="F748" t="str">
            <v>LENY PATRICIA DELGADO BASTIDAS</v>
          </cell>
          <cell r="G748" t="str">
            <v>ID2177823635</v>
          </cell>
        </row>
        <row r="749">
          <cell r="A749">
            <v>45614</v>
          </cell>
          <cell r="B749">
            <v>2024002443</v>
          </cell>
          <cell r="C749" t="str">
            <v>817-2024</v>
          </cell>
          <cell r="D749">
            <v>4825000</v>
          </cell>
          <cell r="E749">
            <v>1085283723</v>
          </cell>
          <cell r="F749" t="str">
            <v>DANIEL  ALEJANDRO ESCOBAR  ANDRADE</v>
          </cell>
          <cell r="G749" t="str">
            <v>ID2177823635</v>
          </cell>
        </row>
        <row r="750">
          <cell r="A750">
            <v>45614</v>
          </cell>
          <cell r="B750">
            <v>2024002444</v>
          </cell>
          <cell r="C750" t="str">
            <v>639-2024</v>
          </cell>
          <cell r="D750">
            <v>4750000</v>
          </cell>
          <cell r="E750">
            <v>1085260497</v>
          </cell>
          <cell r="F750" t="str">
            <v>JOSE FERNANDO CHAÑA QUENGUAN</v>
          </cell>
          <cell r="G750" t="str">
            <v>ID2177823635</v>
          </cell>
        </row>
        <row r="751">
          <cell r="A751">
            <v>45614</v>
          </cell>
          <cell r="B751">
            <v>2024002445</v>
          </cell>
          <cell r="C751" t="str">
            <v>722-2024</v>
          </cell>
          <cell r="D751">
            <v>4825000</v>
          </cell>
          <cell r="E751">
            <v>37082349</v>
          </cell>
          <cell r="F751" t="str">
            <v>PAULA XIMENA CHÁVES PASMIÑO</v>
          </cell>
          <cell r="G751" t="str">
            <v>ID2177823635</v>
          </cell>
        </row>
        <row r="752">
          <cell r="A752">
            <v>45614</v>
          </cell>
          <cell r="B752">
            <v>2024002446</v>
          </cell>
          <cell r="C752" t="str">
            <v>642-2024</v>
          </cell>
          <cell r="D752">
            <v>4750000</v>
          </cell>
          <cell r="E752">
            <v>1085263018</v>
          </cell>
          <cell r="F752" t="str">
            <v>LUIS ALONSO GUEVARA DE LOS RIOS</v>
          </cell>
          <cell r="G752" t="str">
            <v>ID2177823635</v>
          </cell>
        </row>
        <row r="753">
          <cell r="A753">
            <v>45614</v>
          </cell>
          <cell r="B753">
            <v>2024002447</v>
          </cell>
          <cell r="C753" t="str">
            <v>659-2024</v>
          </cell>
          <cell r="D753">
            <v>4825000</v>
          </cell>
          <cell r="E753">
            <v>1085338534</v>
          </cell>
          <cell r="F753" t="str">
            <v>ANA VICTORIA ORTEGA GOMEZ</v>
          </cell>
          <cell r="G753" t="str">
            <v>ID2177823635</v>
          </cell>
        </row>
        <row r="754">
          <cell r="A754">
            <v>45614</v>
          </cell>
          <cell r="B754">
            <v>2024002448</v>
          </cell>
          <cell r="C754" t="str">
            <v>739-2024</v>
          </cell>
          <cell r="D754">
            <v>3000000</v>
          </cell>
          <cell r="E754">
            <v>1085271641</v>
          </cell>
          <cell r="F754" t="str">
            <v>LISSETH MARISOL CUASTUMAL  CASTRO</v>
          </cell>
          <cell r="G754" t="str">
            <v>ID2177823635</v>
          </cell>
        </row>
        <row r="755">
          <cell r="A755">
            <v>45614</v>
          </cell>
          <cell r="B755">
            <v>2024002449</v>
          </cell>
          <cell r="C755" t="str">
            <v>730-2024</v>
          </cell>
          <cell r="D755">
            <v>3000000</v>
          </cell>
          <cell r="E755">
            <v>1192717330</v>
          </cell>
          <cell r="F755" t="str">
            <v>CRISTIAN FABIAN CRIOLLO RIVERA</v>
          </cell>
          <cell r="G755" t="str">
            <v>ID2177823635</v>
          </cell>
        </row>
        <row r="756">
          <cell r="A756">
            <v>45614</v>
          </cell>
          <cell r="B756">
            <v>2024002450</v>
          </cell>
          <cell r="C756" t="str">
            <v>895-2024</v>
          </cell>
          <cell r="D756">
            <v>2500000</v>
          </cell>
          <cell r="E756">
            <v>27211504</v>
          </cell>
          <cell r="F756" t="str">
            <v>YUDY LILIANA BENAVIDES OJEDA</v>
          </cell>
          <cell r="G756" t="str">
            <v>ID2177823635</v>
          </cell>
        </row>
        <row r="757">
          <cell r="A757">
            <v>45614</v>
          </cell>
          <cell r="B757">
            <v>2024002451</v>
          </cell>
          <cell r="C757" t="str">
            <v>689-2024</v>
          </cell>
          <cell r="D757">
            <v>3000000</v>
          </cell>
          <cell r="E757">
            <v>1004635031</v>
          </cell>
          <cell r="F757" t="str">
            <v>ASTRID CAROLINA CAICEDO LUNA</v>
          </cell>
          <cell r="G757" t="str">
            <v>ID2177823635</v>
          </cell>
        </row>
        <row r="758">
          <cell r="A758">
            <v>45614</v>
          </cell>
          <cell r="B758">
            <v>2024002452</v>
          </cell>
          <cell r="C758" t="str">
            <v>681-2024</v>
          </cell>
          <cell r="D758">
            <v>6000000</v>
          </cell>
          <cell r="E758">
            <v>1085246134</v>
          </cell>
          <cell r="F758" t="str">
            <v>DIANA CAROLINA ROSERO CONCHA</v>
          </cell>
          <cell r="G758" t="str">
            <v>ID2177823635</v>
          </cell>
        </row>
        <row r="759">
          <cell r="A759">
            <v>45614</v>
          </cell>
          <cell r="B759">
            <v>2024002453</v>
          </cell>
          <cell r="C759" t="str">
            <v>712-2024</v>
          </cell>
          <cell r="D759">
            <v>6000000</v>
          </cell>
          <cell r="E759">
            <v>36951002</v>
          </cell>
          <cell r="F759" t="str">
            <v>NANCY VISITACIÓN CHAMORRO GUAICHAR</v>
          </cell>
          <cell r="G759" t="str">
            <v>ID2177823635</v>
          </cell>
        </row>
        <row r="760">
          <cell r="A760">
            <v>45614</v>
          </cell>
          <cell r="B760">
            <v>2024002454</v>
          </cell>
          <cell r="C760" t="str">
            <v>789-2024</v>
          </cell>
          <cell r="D760">
            <v>7540000</v>
          </cell>
          <cell r="E760">
            <v>36950112</v>
          </cell>
          <cell r="F760" t="str">
            <v>MUÑOZ CORDOBA PATRICIA</v>
          </cell>
          <cell r="G760" t="str">
            <v>ID2177823635</v>
          </cell>
        </row>
        <row r="761">
          <cell r="A761">
            <v>45615</v>
          </cell>
          <cell r="B761">
            <v>2024002458</v>
          </cell>
          <cell r="C761" t="str">
            <v>888-2024</v>
          </cell>
          <cell r="D761">
            <v>25413500</v>
          </cell>
          <cell r="E761">
            <v>900633448</v>
          </cell>
          <cell r="F761" t="str">
            <v>EXPRESO SURAMERICANA DE TURISMO SAS</v>
          </cell>
          <cell r="G761" t="str">
            <v>ID2177823635</v>
          </cell>
        </row>
        <row r="762">
          <cell r="A762">
            <v>45615</v>
          </cell>
          <cell r="B762">
            <v>2024002459</v>
          </cell>
          <cell r="C762" t="str">
            <v>889-2024</v>
          </cell>
          <cell r="D762">
            <v>29009750</v>
          </cell>
          <cell r="E762">
            <v>900633448</v>
          </cell>
          <cell r="F762" t="str">
            <v>EXPRESO SURAMERICANA DE TURISMO SAS</v>
          </cell>
          <cell r="G762" t="str">
            <v>ID2177823635</v>
          </cell>
        </row>
        <row r="763">
          <cell r="A763">
            <v>45615</v>
          </cell>
          <cell r="B763">
            <v>2024002461</v>
          </cell>
          <cell r="C763" t="str">
            <v>890-2024</v>
          </cell>
          <cell r="D763">
            <v>35339150</v>
          </cell>
          <cell r="E763">
            <v>900633448</v>
          </cell>
          <cell r="F763" t="str">
            <v>EXPRESO SURAMERICANA DE TURISMO SAS</v>
          </cell>
        </row>
        <row r="764">
          <cell r="A764">
            <v>45615</v>
          </cell>
          <cell r="B764">
            <v>2024002462</v>
          </cell>
          <cell r="C764" t="str">
            <v>652-2024</v>
          </cell>
          <cell r="D764">
            <v>6000000</v>
          </cell>
          <cell r="E764">
            <v>1010010954</v>
          </cell>
          <cell r="F764" t="str">
            <v>JULIANA VALENTINA MENDEZ ORTÍZ</v>
          </cell>
        </row>
        <row r="765">
          <cell r="A765">
            <v>45615</v>
          </cell>
          <cell r="B765">
            <v>2024002463</v>
          </cell>
          <cell r="C765" t="str">
            <v>759-2024</v>
          </cell>
          <cell r="D765">
            <v>3000000</v>
          </cell>
          <cell r="E765">
            <v>36757522</v>
          </cell>
          <cell r="F765" t="str">
            <v>VIKY PATRICIA ASCUNTAR CRIOLLO</v>
          </cell>
          <cell r="G765" t="str">
            <v>ID2177823635</v>
          </cell>
        </row>
        <row r="766">
          <cell r="A766">
            <v>45615</v>
          </cell>
          <cell r="B766">
            <v>2024002464</v>
          </cell>
          <cell r="C766" t="str">
            <v>777-2024</v>
          </cell>
          <cell r="D766">
            <v>3000000</v>
          </cell>
          <cell r="E766">
            <v>1004592366</v>
          </cell>
          <cell r="F766" t="str">
            <v>IBONNE ALEJANDRA SILVA ARAUJO</v>
          </cell>
          <cell r="G766" t="str">
            <v>ID2177823635</v>
          </cell>
        </row>
        <row r="767">
          <cell r="A767">
            <v>45615</v>
          </cell>
          <cell r="B767">
            <v>2024002465</v>
          </cell>
          <cell r="C767" t="str">
            <v>796-2024</v>
          </cell>
          <cell r="D767">
            <v>2500000</v>
          </cell>
          <cell r="E767">
            <v>1085251468</v>
          </cell>
          <cell r="F767" t="str">
            <v>ROSAURA CAROLINA MADROÑERO DELGADO</v>
          </cell>
        </row>
        <row r="768">
          <cell r="A768">
            <v>45615</v>
          </cell>
          <cell r="B768">
            <v>2024002466</v>
          </cell>
          <cell r="C768" t="str">
            <v>629-2024</v>
          </cell>
          <cell r="D768">
            <v>1800000</v>
          </cell>
          <cell r="E768">
            <v>1085292185</v>
          </cell>
          <cell r="F768" t="str">
            <v>BRIGITT MARCELA BURBANO PUPIALES</v>
          </cell>
        </row>
        <row r="769">
          <cell r="A769">
            <v>45615</v>
          </cell>
          <cell r="B769">
            <v>2024002467</v>
          </cell>
          <cell r="C769" t="str">
            <v>698-2024</v>
          </cell>
          <cell r="D769">
            <v>3000000</v>
          </cell>
          <cell r="E769">
            <v>1004232508</v>
          </cell>
          <cell r="F769" t="str">
            <v>PABLO JOSÉ BADOS LÒPEZ</v>
          </cell>
        </row>
        <row r="770">
          <cell r="A770">
            <v>45615</v>
          </cell>
          <cell r="B770">
            <v>2024002468</v>
          </cell>
          <cell r="C770" t="str">
            <v>891-2024</v>
          </cell>
          <cell r="D770">
            <v>27667150</v>
          </cell>
          <cell r="E770">
            <v>900633448</v>
          </cell>
          <cell r="F770" t="str">
            <v>EXPRESO SURAMERICANA DE TURISMO SAS</v>
          </cell>
        </row>
        <row r="771">
          <cell r="A771">
            <v>45615</v>
          </cell>
          <cell r="B771">
            <v>2024002469</v>
          </cell>
          <cell r="C771" t="str">
            <v>647-2024</v>
          </cell>
          <cell r="D771">
            <v>7540000</v>
          </cell>
          <cell r="E771">
            <v>1085320661</v>
          </cell>
          <cell r="F771" t="str">
            <v>JHEIBER BRANLLERT DULCE MUÑOZ</v>
          </cell>
        </row>
        <row r="772">
          <cell r="A772">
            <v>45615</v>
          </cell>
          <cell r="B772">
            <v>2024002470</v>
          </cell>
          <cell r="C772" t="str">
            <v>646-2024</v>
          </cell>
          <cell r="D772">
            <v>7540000</v>
          </cell>
          <cell r="E772">
            <v>1085332934</v>
          </cell>
          <cell r="F772" t="str">
            <v>NELLY VANESSA ORDOÑEZ BASTIDAS</v>
          </cell>
        </row>
        <row r="773">
          <cell r="A773">
            <v>45615</v>
          </cell>
          <cell r="B773">
            <v>2024002471</v>
          </cell>
          <cell r="C773" t="str">
            <v>775-2024</v>
          </cell>
          <cell r="D773">
            <v>4825000</v>
          </cell>
          <cell r="E773">
            <v>12748383</v>
          </cell>
          <cell r="F773" t="str">
            <v>ANDRES ERNESTO BRAVO  ALMEIDA</v>
          </cell>
        </row>
        <row r="774">
          <cell r="A774">
            <v>45615</v>
          </cell>
          <cell r="B774">
            <v>2024002472</v>
          </cell>
          <cell r="C774" t="str">
            <v>638-2024</v>
          </cell>
          <cell r="D774">
            <v>4825000</v>
          </cell>
          <cell r="E774">
            <v>30732782</v>
          </cell>
          <cell r="F774" t="str">
            <v>ANA  MILENA ROSERO SANTANDER</v>
          </cell>
        </row>
        <row r="775">
          <cell r="A775">
            <v>45615</v>
          </cell>
          <cell r="B775">
            <v>2024002475</v>
          </cell>
          <cell r="C775" t="str">
            <v>947-2024</v>
          </cell>
          <cell r="D775">
            <v>9397169</v>
          </cell>
          <cell r="E775">
            <v>900414376</v>
          </cell>
          <cell r="F775" t="str">
            <v>ULTRA SCHALL DE COLOMBIA SAS</v>
          </cell>
        </row>
        <row r="776">
          <cell r="A776">
            <v>45615</v>
          </cell>
          <cell r="B776">
            <v>2024002476</v>
          </cell>
          <cell r="C776" t="str">
            <v>961-2024</v>
          </cell>
          <cell r="D776">
            <v>12832812.119999999</v>
          </cell>
          <cell r="E776">
            <v>900441119</v>
          </cell>
          <cell r="F776" t="str">
            <v>ORTHOWELL SAS</v>
          </cell>
        </row>
        <row r="777">
          <cell r="A777">
            <v>45615</v>
          </cell>
          <cell r="B777">
            <v>2024002477</v>
          </cell>
          <cell r="C777" t="str">
            <v>964-2024</v>
          </cell>
          <cell r="D777">
            <v>35960040</v>
          </cell>
          <cell r="E777">
            <v>890312452</v>
          </cell>
          <cell r="F777" t="str">
            <v>ALLERS SAS</v>
          </cell>
        </row>
        <row r="778">
          <cell r="A778">
            <v>45615</v>
          </cell>
          <cell r="B778">
            <v>2024002478</v>
          </cell>
          <cell r="C778" t="str">
            <v>967-2024</v>
          </cell>
          <cell r="D778">
            <v>2283157</v>
          </cell>
          <cell r="E778">
            <v>901181781</v>
          </cell>
          <cell r="F778" t="str">
            <v>CLINIMEDICAL GROUP SAS</v>
          </cell>
        </row>
        <row r="779">
          <cell r="A779">
            <v>45616</v>
          </cell>
          <cell r="B779">
            <v>2024002479</v>
          </cell>
          <cell r="C779" t="str">
            <v>792-2024</v>
          </cell>
          <cell r="D779">
            <v>3000000</v>
          </cell>
          <cell r="E779">
            <v>1081052746</v>
          </cell>
          <cell r="F779" t="str">
            <v>JULIETH CAROLINA DIAZ FIGUEROA</v>
          </cell>
          <cell r="G779" t="str">
            <v>ID2177823635</v>
          </cell>
        </row>
        <row r="780">
          <cell r="A780">
            <v>45616</v>
          </cell>
          <cell r="B780">
            <v>2024002480</v>
          </cell>
          <cell r="C780" t="str">
            <v>765-2024</v>
          </cell>
          <cell r="D780">
            <v>3000000</v>
          </cell>
          <cell r="E780">
            <v>59178610</v>
          </cell>
          <cell r="F780" t="str">
            <v>MONICA PATRICIA PANTOJA DUEÑAS</v>
          </cell>
          <cell r="G780" t="str">
            <v>ID2177823635</v>
          </cell>
        </row>
        <row r="781">
          <cell r="A781">
            <v>45616</v>
          </cell>
          <cell r="B781">
            <v>2024002481</v>
          </cell>
          <cell r="C781" t="str">
            <v>729-2024</v>
          </cell>
          <cell r="D781">
            <v>7540000</v>
          </cell>
          <cell r="E781">
            <v>1085329230</v>
          </cell>
          <cell r="F781" t="str">
            <v>MEHILIN TATIANA QUIMBIAMBA ORTÌZ</v>
          </cell>
          <cell r="G781" t="str">
            <v>ID2177823635</v>
          </cell>
        </row>
        <row r="782">
          <cell r="A782">
            <v>45616</v>
          </cell>
          <cell r="B782">
            <v>2024002482</v>
          </cell>
          <cell r="C782" t="str">
            <v>648-2024</v>
          </cell>
          <cell r="D782">
            <v>6000000</v>
          </cell>
          <cell r="E782">
            <v>59837608</v>
          </cell>
          <cell r="F782" t="str">
            <v>ALBA DENIS ARGOTY SANTACRUZ</v>
          </cell>
        </row>
        <row r="783">
          <cell r="A783">
            <v>45616</v>
          </cell>
          <cell r="B783">
            <v>2024002483</v>
          </cell>
          <cell r="C783" t="str">
            <v>629-2024</v>
          </cell>
          <cell r="D783">
            <v>6000000</v>
          </cell>
          <cell r="E783">
            <v>1085292185</v>
          </cell>
          <cell r="F783" t="str">
            <v>BRIGITT MARCELA BURBANO PUPIALES</v>
          </cell>
        </row>
        <row r="784">
          <cell r="A784">
            <v>45616</v>
          </cell>
          <cell r="B784">
            <v>2024002484</v>
          </cell>
          <cell r="C784" t="str">
            <v>801-2024</v>
          </cell>
          <cell r="D784">
            <v>2500000</v>
          </cell>
          <cell r="E784">
            <v>1085330079</v>
          </cell>
          <cell r="F784" t="str">
            <v>ANGIE GIONELLA HERNANDEZ VILLOTA</v>
          </cell>
          <cell r="G784" t="str">
            <v>ID2177823635</v>
          </cell>
        </row>
        <row r="785">
          <cell r="A785">
            <v>45616</v>
          </cell>
          <cell r="B785">
            <v>2024002485</v>
          </cell>
          <cell r="C785" t="str">
            <v>687-2024</v>
          </cell>
          <cell r="D785">
            <v>4750000</v>
          </cell>
          <cell r="E785">
            <v>1085303067</v>
          </cell>
          <cell r="F785" t="str">
            <v>CINDY ESTEFANIA GONZALES DEL CASTILLO</v>
          </cell>
          <cell r="G785" t="str">
            <v>ID2177823635</v>
          </cell>
        </row>
        <row r="786">
          <cell r="A786">
            <v>45616</v>
          </cell>
          <cell r="B786">
            <v>2024002486</v>
          </cell>
          <cell r="C786" t="str">
            <v>633-2024</v>
          </cell>
          <cell r="D786">
            <v>4750000</v>
          </cell>
          <cell r="E786">
            <v>59821282</v>
          </cell>
          <cell r="F786" t="str">
            <v>XIMENA DEL ROSARIO LOPEZ MAYA</v>
          </cell>
          <cell r="G786" t="str">
            <v>ID2177823635</v>
          </cell>
        </row>
        <row r="787">
          <cell r="A787">
            <v>45616</v>
          </cell>
          <cell r="B787">
            <v>2024002487</v>
          </cell>
          <cell r="C787" t="str">
            <v>754-2024</v>
          </cell>
          <cell r="D787">
            <v>3000000</v>
          </cell>
          <cell r="E787">
            <v>1085327701</v>
          </cell>
          <cell r="F787" t="str">
            <v>MARIA JOSE LEITON ZUTTA</v>
          </cell>
        </row>
        <row r="788">
          <cell r="A788">
            <v>45616</v>
          </cell>
          <cell r="B788">
            <v>2024002488</v>
          </cell>
          <cell r="C788" t="str">
            <v>755-2024</v>
          </cell>
          <cell r="D788">
            <v>2500000</v>
          </cell>
          <cell r="E788">
            <v>12974849</v>
          </cell>
          <cell r="F788" t="str">
            <v>PABLO ERNESTO RIOBAMBA IPIALES</v>
          </cell>
        </row>
        <row r="789">
          <cell r="A789">
            <v>45617</v>
          </cell>
          <cell r="B789">
            <v>2024002496</v>
          </cell>
          <cell r="C789" t="str">
            <v>978-2024</v>
          </cell>
          <cell r="D789">
            <v>31498000</v>
          </cell>
          <cell r="E789">
            <v>901095545</v>
          </cell>
          <cell r="F789" t="str">
            <v>SOLUCIONES INTEGRALES DE INGENIERIA LR S.A.S</v>
          </cell>
        </row>
        <row r="790">
          <cell r="A790">
            <v>45618</v>
          </cell>
          <cell r="B790">
            <v>2024002501</v>
          </cell>
          <cell r="C790" t="str">
            <v>820-2024</v>
          </cell>
          <cell r="D790">
            <v>6000000</v>
          </cell>
          <cell r="E790">
            <v>1193223736</v>
          </cell>
          <cell r="F790" t="str">
            <v>EMILY  ROMERO MENDOZA</v>
          </cell>
        </row>
        <row r="791">
          <cell r="A791">
            <v>45618</v>
          </cell>
          <cell r="B791">
            <v>2024002502</v>
          </cell>
          <cell r="C791" t="str">
            <v>713-2024</v>
          </cell>
          <cell r="D791">
            <v>6000000</v>
          </cell>
          <cell r="E791">
            <v>1004213964</v>
          </cell>
          <cell r="F791" t="str">
            <v>JENIFFER  ARCOS GIL</v>
          </cell>
        </row>
        <row r="792">
          <cell r="A792">
            <v>45618</v>
          </cell>
          <cell r="B792">
            <v>2024002503</v>
          </cell>
          <cell r="C792" t="str">
            <v>640-2024</v>
          </cell>
          <cell r="D792">
            <v>4750000</v>
          </cell>
          <cell r="E792">
            <v>1087413951</v>
          </cell>
          <cell r="F792" t="str">
            <v>MAYERLY NORIDIA ASMAZA GETIAL</v>
          </cell>
        </row>
        <row r="793">
          <cell r="A793">
            <v>45618</v>
          </cell>
          <cell r="B793">
            <v>2024002504</v>
          </cell>
          <cell r="C793" t="str">
            <v>836-2024</v>
          </cell>
          <cell r="D793">
            <v>2500000</v>
          </cell>
          <cell r="E793">
            <v>12750863</v>
          </cell>
          <cell r="F793" t="str">
            <v>MARIO ANDRES ROSAS  ENRIQUEZ</v>
          </cell>
        </row>
        <row r="794">
          <cell r="A794">
            <v>45618</v>
          </cell>
          <cell r="B794">
            <v>2024002505</v>
          </cell>
          <cell r="C794" t="str">
            <v>795-2024</v>
          </cell>
          <cell r="D794">
            <v>3000000</v>
          </cell>
          <cell r="E794">
            <v>27285974</v>
          </cell>
          <cell r="F794" t="str">
            <v>LUZDARI  JARAMILLO NOGUERA</v>
          </cell>
        </row>
        <row r="795">
          <cell r="A795">
            <v>45618</v>
          </cell>
          <cell r="B795">
            <v>2024002506</v>
          </cell>
          <cell r="C795" t="str">
            <v>776-2024</v>
          </cell>
          <cell r="D795">
            <v>3000000</v>
          </cell>
          <cell r="E795">
            <v>59830040</v>
          </cell>
          <cell r="F795" t="str">
            <v>ANA CLEMENCIA BASTIDAS CERON</v>
          </cell>
        </row>
        <row r="796">
          <cell r="A796">
            <v>45618</v>
          </cell>
          <cell r="B796">
            <v>2024002507</v>
          </cell>
          <cell r="C796" t="str">
            <v>637-2024</v>
          </cell>
          <cell r="D796">
            <v>4750000</v>
          </cell>
          <cell r="E796">
            <v>1085293619</v>
          </cell>
          <cell r="F796" t="str">
            <v>JERALDINE  BASTIDAS OCAÑA</v>
          </cell>
        </row>
        <row r="797">
          <cell r="A797">
            <v>45618</v>
          </cell>
          <cell r="B797">
            <v>2024002508</v>
          </cell>
          <cell r="C797" t="str">
            <v>840-2024</v>
          </cell>
          <cell r="D797">
            <v>3000000</v>
          </cell>
          <cell r="E797">
            <v>1137624011</v>
          </cell>
          <cell r="F797" t="str">
            <v>KAROL DAYANA TONGUINO TORO</v>
          </cell>
        </row>
        <row r="798">
          <cell r="A798">
            <v>45618</v>
          </cell>
          <cell r="B798">
            <v>2024002509</v>
          </cell>
          <cell r="C798" t="str">
            <v>697-2024</v>
          </cell>
          <cell r="D798">
            <v>3000000</v>
          </cell>
          <cell r="E798">
            <v>36954407</v>
          </cell>
          <cell r="F798" t="str">
            <v>PAOLA VIVIANA HIDALGO MARCILLO</v>
          </cell>
        </row>
        <row r="799">
          <cell r="A799">
            <v>45618</v>
          </cell>
          <cell r="B799">
            <v>2024002510</v>
          </cell>
          <cell r="C799" t="str">
            <v>733-2024</v>
          </cell>
          <cell r="D799">
            <v>3000000</v>
          </cell>
          <cell r="E799">
            <v>1085290651</v>
          </cell>
          <cell r="F799" t="str">
            <v>INDIRA TAMARA PALACIOS BUSTOS</v>
          </cell>
        </row>
        <row r="800">
          <cell r="A800">
            <v>45618</v>
          </cell>
          <cell r="B800">
            <v>2024002511</v>
          </cell>
          <cell r="C800" t="str">
            <v>798-2024</v>
          </cell>
          <cell r="D800">
            <v>3000000</v>
          </cell>
          <cell r="E800">
            <v>1085325325</v>
          </cell>
          <cell r="F800" t="str">
            <v>AYDA ISABEL MATABANCHOY BENAVIDES</v>
          </cell>
        </row>
        <row r="801">
          <cell r="A801">
            <v>45618</v>
          </cell>
          <cell r="B801">
            <v>2024002512</v>
          </cell>
          <cell r="C801" t="str">
            <v>700-2024</v>
          </cell>
          <cell r="D801">
            <v>4825000</v>
          </cell>
          <cell r="E801">
            <v>1193385736</v>
          </cell>
          <cell r="F801" t="str">
            <v>JHONNY  ALEXANDER SEPULVEDA DUERO</v>
          </cell>
        </row>
        <row r="802">
          <cell r="A802">
            <v>45618</v>
          </cell>
          <cell r="B802">
            <v>2024002513</v>
          </cell>
          <cell r="C802" t="str">
            <v>753-2024</v>
          </cell>
          <cell r="D802">
            <v>3000000</v>
          </cell>
          <cell r="E802">
            <v>59310524</v>
          </cell>
          <cell r="F802" t="str">
            <v>MAIGUAL MUÑOZ MARIBEL DEL CARMEN</v>
          </cell>
        </row>
        <row r="803">
          <cell r="A803">
            <v>45621</v>
          </cell>
          <cell r="B803">
            <v>2024002514</v>
          </cell>
          <cell r="C803" t="str">
            <v>645-2024</v>
          </cell>
          <cell r="D803">
            <v>6000000</v>
          </cell>
          <cell r="E803">
            <v>1089242085</v>
          </cell>
          <cell r="F803" t="str">
            <v>DANNY YESID DELGADO MORA</v>
          </cell>
        </row>
        <row r="804">
          <cell r="A804">
            <v>45621</v>
          </cell>
          <cell r="B804">
            <v>2024002515</v>
          </cell>
          <cell r="C804" t="str">
            <v>809-2024</v>
          </cell>
          <cell r="D804">
            <v>3000000</v>
          </cell>
          <cell r="E804">
            <v>1085288636</v>
          </cell>
          <cell r="F804" t="str">
            <v>DIANA SOFIA AYALA DIAZ</v>
          </cell>
        </row>
        <row r="805">
          <cell r="A805">
            <v>45621</v>
          </cell>
          <cell r="B805">
            <v>2024002516</v>
          </cell>
          <cell r="C805" t="str">
            <v>847-2024</v>
          </cell>
          <cell r="D805">
            <v>3000000</v>
          </cell>
          <cell r="E805">
            <v>1080040858</v>
          </cell>
          <cell r="F805" t="str">
            <v>YEIMY ANABELY MONCAYO ARTEAGA</v>
          </cell>
        </row>
        <row r="806">
          <cell r="A806">
            <v>45621</v>
          </cell>
          <cell r="B806">
            <v>2024002517</v>
          </cell>
          <cell r="C806" t="str">
            <v>846-2024</v>
          </cell>
          <cell r="D806">
            <v>3000000</v>
          </cell>
          <cell r="E806">
            <v>1010082397</v>
          </cell>
          <cell r="F806" t="str">
            <v>JAQUELINE CAMILA GENOY VILLOTA</v>
          </cell>
        </row>
        <row r="807">
          <cell r="A807">
            <v>45621</v>
          </cell>
          <cell r="B807">
            <v>2024002518</v>
          </cell>
          <cell r="C807" t="str">
            <v>852-2024</v>
          </cell>
          <cell r="D807">
            <v>3000000</v>
          </cell>
          <cell r="E807">
            <v>1004135064</v>
          </cell>
          <cell r="F807" t="str">
            <v>JESSICA FERNANDA LAGOS DAVID</v>
          </cell>
        </row>
        <row r="808">
          <cell r="A808">
            <v>45621</v>
          </cell>
          <cell r="B808">
            <v>2024002519</v>
          </cell>
          <cell r="C808" t="str">
            <v>896-2024</v>
          </cell>
          <cell r="D808">
            <v>2500000</v>
          </cell>
          <cell r="E808">
            <v>1081595853</v>
          </cell>
          <cell r="F808" t="str">
            <v>LICETH NEYIRETH RIVERA ROSERO</v>
          </cell>
        </row>
        <row r="809">
          <cell r="A809">
            <v>45621</v>
          </cell>
          <cell r="B809">
            <v>2024002520</v>
          </cell>
          <cell r="C809" t="str">
            <v>660-2024</v>
          </cell>
          <cell r="D809">
            <v>4825000</v>
          </cell>
          <cell r="E809">
            <v>1088730712</v>
          </cell>
          <cell r="F809" t="str">
            <v>ANGELA PATRICIA BASTIDAS  MELO</v>
          </cell>
        </row>
        <row r="810">
          <cell r="A810">
            <v>45621</v>
          </cell>
          <cell r="B810">
            <v>2024002521</v>
          </cell>
          <cell r="C810" t="str">
            <v>726-2024</v>
          </cell>
          <cell r="D810">
            <v>3000000</v>
          </cell>
          <cell r="E810">
            <v>1030606749</v>
          </cell>
          <cell r="F810" t="str">
            <v>ANGELA EDITH GONZALEZ PIANDA</v>
          </cell>
        </row>
        <row r="811">
          <cell r="A811">
            <v>45621</v>
          </cell>
          <cell r="B811">
            <v>2024002522</v>
          </cell>
          <cell r="C811" t="str">
            <v>901-2024</v>
          </cell>
          <cell r="D811">
            <v>3000000</v>
          </cell>
          <cell r="E811">
            <v>1085275473</v>
          </cell>
          <cell r="F811" t="str">
            <v>LADY VIVIANA CASTRO GUAUÑA</v>
          </cell>
        </row>
        <row r="812">
          <cell r="A812">
            <v>45621</v>
          </cell>
          <cell r="B812">
            <v>2024002523</v>
          </cell>
          <cell r="C812" t="str">
            <v>913-2024</v>
          </cell>
          <cell r="D812">
            <v>2500000</v>
          </cell>
          <cell r="E812">
            <v>1085338232</v>
          </cell>
          <cell r="F812" t="str">
            <v>CLAUDIA DANIELA PAZ  RIVERA</v>
          </cell>
        </row>
        <row r="813">
          <cell r="A813">
            <v>45621</v>
          </cell>
          <cell r="B813">
            <v>2024002524</v>
          </cell>
          <cell r="C813" t="str">
            <v>812-2024</v>
          </cell>
          <cell r="D813">
            <v>3000000</v>
          </cell>
          <cell r="E813">
            <v>59837416</v>
          </cell>
          <cell r="F813" t="str">
            <v>RUTH INGRITH DIAZ VALERO</v>
          </cell>
        </row>
        <row r="814">
          <cell r="A814">
            <v>45621</v>
          </cell>
          <cell r="B814">
            <v>2024002526</v>
          </cell>
          <cell r="C814" t="str">
            <v>842-2024</v>
          </cell>
          <cell r="D814">
            <v>4825000</v>
          </cell>
          <cell r="E814">
            <v>59310145</v>
          </cell>
          <cell r="F814" t="str">
            <v>EDITH ANGELICA LOPEZ VILLARREAL</v>
          </cell>
        </row>
        <row r="815">
          <cell r="A815">
            <v>45621</v>
          </cell>
          <cell r="B815">
            <v>2024002527</v>
          </cell>
          <cell r="C815" t="str">
            <v>651-2024</v>
          </cell>
          <cell r="D815">
            <v>7540000</v>
          </cell>
          <cell r="E815">
            <v>37087120</v>
          </cell>
          <cell r="F815" t="str">
            <v>JOHANA CAROLINA CAICEDO GOYES</v>
          </cell>
        </row>
        <row r="816">
          <cell r="A816">
            <v>45621</v>
          </cell>
          <cell r="B816">
            <v>2024002529</v>
          </cell>
          <cell r="C816" t="str">
            <v>811-2024</v>
          </cell>
          <cell r="D816">
            <v>2500000</v>
          </cell>
          <cell r="E816">
            <v>36753698</v>
          </cell>
          <cell r="F816" t="str">
            <v>ANA MILENA JACANMIJOY TREJO</v>
          </cell>
        </row>
        <row r="817">
          <cell r="A817">
            <v>45621</v>
          </cell>
          <cell r="B817">
            <v>2024002531</v>
          </cell>
          <cell r="C817" t="str">
            <v>653-2024</v>
          </cell>
          <cell r="D817">
            <v>7540000</v>
          </cell>
          <cell r="E817">
            <v>1085321192</v>
          </cell>
          <cell r="F817" t="str">
            <v>BRAYAN ANTONIO MADROÑERO QUINTERO</v>
          </cell>
        </row>
        <row r="818">
          <cell r="A818">
            <v>45621</v>
          </cell>
          <cell r="B818">
            <v>2024002532</v>
          </cell>
          <cell r="C818" t="str">
            <v>963-2024</v>
          </cell>
          <cell r="D818">
            <v>800000</v>
          </cell>
          <cell r="E818">
            <v>1085315209</v>
          </cell>
          <cell r="F818" t="str">
            <v>ANGIE ALEXANDRA MORILLO PANTOJA</v>
          </cell>
        </row>
        <row r="819">
          <cell r="A819">
            <v>45621</v>
          </cell>
          <cell r="B819">
            <v>2024002534</v>
          </cell>
          <cell r="C819" t="str">
            <v>857-2024</v>
          </cell>
          <cell r="D819">
            <v>4825000</v>
          </cell>
          <cell r="E819">
            <v>1085289739</v>
          </cell>
          <cell r="F819" t="str">
            <v>YULY LORENA CABRERA DELGADO</v>
          </cell>
        </row>
        <row r="820">
          <cell r="A820">
            <v>45621</v>
          </cell>
          <cell r="B820">
            <v>2024002539</v>
          </cell>
          <cell r="C820" t="str">
            <v>802-2024</v>
          </cell>
          <cell r="D820">
            <v>3000000</v>
          </cell>
          <cell r="E820">
            <v>1233191675</v>
          </cell>
          <cell r="F820" t="str">
            <v>NATHALY STEPHANIE MARTINEZ MARTINEZ</v>
          </cell>
        </row>
        <row r="821">
          <cell r="A821">
            <v>45621</v>
          </cell>
          <cell r="B821">
            <v>2024002541</v>
          </cell>
          <cell r="C821" t="str">
            <v>778-2024</v>
          </cell>
          <cell r="D821">
            <v>4750000</v>
          </cell>
          <cell r="E821">
            <v>36759759</v>
          </cell>
          <cell r="F821" t="str">
            <v>LAUREN AZENITH CORAL SAMUDIO</v>
          </cell>
        </row>
        <row r="822">
          <cell r="A822">
            <v>45621</v>
          </cell>
          <cell r="B822">
            <v>2024002542</v>
          </cell>
          <cell r="C822" t="str">
            <v>641-2024</v>
          </cell>
          <cell r="D822">
            <v>7500000</v>
          </cell>
          <cell r="E822">
            <v>1088599676</v>
          </cell>
          <cell r="F822" t="str">
            <v>DANIEL GERARDO ERAZO OVIEDO</v>
          </cell>
        </row>
        <row r="823">
          <cell r="A823">
            <v>45621</v>
          </cell>
          <cell r="B823">
            <v>2024002545</v>
          </cell>
          <cell r="C823" t="str">
            <v>805-2024</v>
          </cell>
          <cell r="D823">
            <v>3000000</v>
          </cell>
          <cell r="E823">
            <v>1085269090</v>
          </cell>
          <cell r="F823" t="str">
            <v>FHALOM CAROLINA ROSERO TORRES</v>
          </cell>
        </row>
        <row r="824">
          <cell r="A824">
            <v>45621</v>
          </cell>
          <cell r="B824">
            <v>2024002547</v>
          </cell>
          <cell r="C824" t="str">
            <v>675-2024</v>
          </cell>
          <cell r="D824">
            <v>4750000</v>
          </cell>
          <cell r="E824">
            <v>1085330309</v>
          </cell>
          <cell r="F824" t="str">
            <v>LEYDI GISELLA BENAVIDES LÒPEZ</v>
          </cell>
        </row>
        <row r="825">
          <cell r="A825">
            <v>45621</v>
          </cell>
          <cell r="B825">
            <v>2024002548</v>
          </cell>
          <cell r="C825" t="str">
            <v>658-2024</v>
          </cell>
          <cell r="D825">
            <v>4750000</v>
          </cell>
          <cell r="E825">
            <v>1087414586</v>
          </cell>
          <cell r="F825" t="str">
            <v>YULY MARCELA MORALES LOPEZ</v>
          </cell>
        </row>
        <row r="826">
          <cell r="A826">
            <v>45621</v>
          </cell>
          <cell r="B826">
            <v>2024002550</v>
          </cell>
          <cell r="C826" t="str">
            <v>748-2024</v>
          </cell>
          <cell r="D826">
            <v>3000000</v>
          </cell>
          <cell r="E826">
            <v>37084285</v>
          </cell>
          <cell r="F826" t="str">
            <v>JULIE ANDREA FREIRE MIER</v>
          </cell>
        </row>
        <row r="827">
          <cell r="A827">
            <v>45621</v>
          </cell>
          <cell r="B827">
            <v>2024002551</v>
          </cell>
          <cell r="C827" t="str">
            <v>715-2024</v>
          </cell>
          <cell r="D827">
            <v>3000000</v>
          </cell>
          <cell r="E827">
            <v>36758143</v>
          </cell>
          <cell r="F827" t="str">
            <v>LUCERITO DEL CARMEN REVELO BENAVIDES</v>
          </cell>
        </row>
        <row r="828">
          <cell r="A828">
            <v>45621</v>
          </cell>
          <cell r="B828">
            <v>2024002552</v>
          </cell>
          <cell r="C828" t="str">
            <v>837-2024</v>
          </cell>
          <cell r="D828">
            <v>2500000</v>
          </cell>
          <cell r="E828">
            <v>1193265831</v>
          </cell>
          <cell r="F828" t="str">
            <v>NAYIBE MARCELA LARA MATABANCHOY</v>
          </cell>
        </row>
        <row r="829">
          <cell r="A829">
            <v>45621</v>
          </cell>
          <cell r="B829">
            <v>2024002553</v>
          </cell>
          <cell r="C829" t="str">
            <v>912-2024</v>
          </cell>
          <cell r="D829">
            <v>7540000</v>
          </cell>
          <cell r="E829">
            <v>1233192708</v>
          </cell>
          <cell r="F829" t="str">
            <v>DIANA SOFIA PANTOJA RUANO</v>
          </cell>
        </row>
        <row r="830">
          <cell r="A830">
            <v>45621</v>
          </cell>
          <cell r="B830">
            <v>2024002554</v>
          </cell>
          <cell r="C830" t="str">
            <v>824-2024</v>
          </cell>
          <cell r="D830">
            <v>3000000</v>
          </cell>
          <cell r="E830">
            <v>1086328142</v>
          </cell>
          <cell r="F830" t="str">
            <v>ZULY MARINA HIDALGO JOJOA</v>
          </cell>
        </row>
        <row r="831">
          <cell r="A831">
            <v>45621</v>
          </cell>
          <cell r="B831">
            <v>2024002555</v>
          </cell>
          <cell r="C831" t="str">
            <v>644-2024</v>
          </cell>
          <cell r="D831">
            <v>4750000</v>
          </cell>
          <cell r="E831">
            <v>59824313</v>
          </cell>
          <cell r="F831" t="str">
            <v>FANY LUCELY RODRIGUEZ CRIOLLO</v>
          </cell>
        </row>
        <row r="832">
          <cell r="A832">
            <v>45621</v>
          </cell>
          <cell r="B832">
            <v>2024002556</v>
          </cell>
          <cell r="C832" t="str">
            <v>747-2024</v>
          </cell>
          <cell r="D832">
            <v>3000000</v>
          </cell>
          <cell r="E832">
            <v>1085318688</v>
          </cell>
          <cell r="F832" t="str">
            <v>DARLLY ROXANA ROSERO TIMARÁN</v>
          </cell>
        </row>
        <row r="833">
          <cell r="A833">
            <v>45621</v>
          </cell>
          <cell r="B833">
            <v>2024002557</v>
          </cell>
          <cell r="C833" t="str">
            <v>856-2024</v>
          </cell>
          <cell r="D833">
            <v>3000000</v>
          </cell>
          <cell r="E833">
            <v>1085339190</v>
          </cell>
          <cell r="F833" t="str">
            <v>KELLY YURANY JOJOA BOTINA</v>
          </cell>
        </row>
        <row r="834">
          <cell r="A834">
            <v>45621</v>
          </cell>
          <cell r="B834">
            <v>2024002558</v>
          </cell>
          <cell r="C834" t="str">
            <v>784-2024</v>
          </cell>
          <cell r="D834">
            <v>3000000</v>
          </cell>
          <cell r="E834">
            <v>1007403454</v>
          </cell>
          <cell r="F834" t="str">
            <v>ADRIANA YADIRA MENESES CARVAJAL</v>
          </cell>
        </row>
        <row r="835">
          <cell r="A835">
            <v>45621</v>
          </cell>
          <cell r="B835">
            <v>2024002559</v>
          </cell>
          <cell r="C835" t="str">
            <v>917-2024</v>
          </cell>
          <cell r="D835">
            <v>2500000</v>
          </cell>
          <cell r="E835">
            <v>27094521</v>
          </cell>
          <cell r="F835" t="str">
            <v>RUTH JACQUELINE GAMEZ PABON</v>
          </cell>
        </row>
        <row r="836">
          <cell r="A836">
            <v>45621</v>
          </cell>
          <cell r="B836">
            <v>2024002560</v>
          </cell>
          <cell r="C836" t="str">
            <v>654-2024</v>
          </cell>
          <cell r="D836">
            <v>4825000</v>
          </cell>
          <cell r="E836">
            <v>87062845</v>
          </cell>
          <cell r="F836" t="str">
            <v>EDMER LEONARDO RUALES AYALA</v>
          </cell>
        </row>
        <row r="837">
          <cell r="A837">
            <v>45621</v>
          </cell>
          <cell r="B837">
            <v>2024002561</v>
          </cell>
          <cell r="C837" t="str">
            <v>910-2024</v>
          </cell>
          <cell r="D837">
            <v>2500000</v>
          </cell>
          <cell r="E837">
            <v>1004535115</v>
          </cell>
          <cell r="F837" t="str">
            <v>LISETH  MUÑOZ MARTINEZ</v>
          </cell>
        </row>
        <row r="838">
          <cell r="A838">
            <v>45621</v>
          </cell>
          <cell r="B838">
            <v>2024002562</v>
          </cell>
          <cell r="C838" t="str">
            <v>788-2024</v>
          </cell>
          <cell r="D838">
            <v>3000000</v>
          </cell>
          <cell r="E838">
            <v>1086329609</v>
          </cell>
          <cell r="F838" t="str">
            <v>LORENA DEL CARMEN  OJEDA VAZQUEZ</v>
          </cell>
        </row>
        <row r="839">
          <cell r="A839">
            <v>45621</v>
          </cell>
          <cell r="B839">
            <v>2024002563</v>
          </cell>
          <cell r="C839" t="str">
            <v>918-2024</v>
          </cell>
          <cell r="D839">
            <v>3000000</v>
          </cell>
          <cell r="E839">
            <v>1080046034</v>
          </cell>
          <cell r="F839" t="str">
            <v>GABRIEL SEBASTIAN MORINELLY ROJAS</v>
          </cell>
        </row>
        <row r="840">
          <cell r="A840">
            <v>45621</v>
          </cell>
          <cell r="B840">
            <v>2024002564</v>
          </cell>
          <cell r="C840" t="str">
            <v>835-2024</v>
          </cell>
          <cell r="D840">
            <v>4825000</v>
          </cell>
          <cell r="E840">
            <v>27088141</v>
          </cell>
          <cell r="F840" t="str">
            <v>CONSTANZA HAIDY UNIGARRO PAZ</v>
          </cell>
        </row>
        <row r="841">
          <cell r="A841">
            <v>45621</v>
          </cell>
          <cell r="B841">
            <v>2024002565</v>
          </cell>
          <cell r="C841" t="str">
            <v>911-2024</v>
          </cell>
          <cell r="D841">
            <v>2500000</v>
          </cell>
          <cell r="E841">
            <v>1085314075</v>
          </cell>
          <cell r="F841" t="str">
            <v>LORENA CATERINE ASCUNTAR CUAJIBIOY</v>
          </cell>
        </row>
        <row r="842">
          <cell r="A842">
            <v>45621</v>
          </cell>
          <cell r="B842">
            <v>2024002566</v>
          </cell>
          <cell r="C842" t="str">
            <v>914-2024</v>
          </cell>
          <cell r="D842">
            <v>2500000</v>
          </cell>
          <cell r="E842">
            <v>1085310465</v>
          </cell>
          <cell r="F842" t="str">
            <v>YAMILE ALEJANDRA BOTINA RODRIGUEZ</v>
          </cell>
        </row>
        <row r="843">
          <cell r="A843">
            <v>45621</v>
          </cell>
          <cell r="B843">
            <v>2024002567</v>
          </cell>
          <cell r="C843" t="str">
            <v>692-2024</v>
          </cell>
          <cell r="D843">
            <v>3000000</v>
          </cell>
          <cell r="E843">
            <v>1085316191</v>
          </cell>
          <cell r="F843" t="str">
            <v>MARIA HOMAIRA GUEVARA CORAL</v>
          </cell>
        </row>
        <row r="844">
          <cell r="A844">
            <v>45621</v>
          </cell>
          <cell r="B844">
            <v>2024002568</v>
          </cell>
          <cell r="C844" t="str">
            <v>770-2024</v>
          </cell>
          <cell r="D844">
            <v>3000000</v>
          </cell>
          <cell r="E844">
            <v>1010113730</v>
          </cell>
          <cell r="F844" t="str">
            <v>DIANA MILENA PAZ NANDAR</v>
          </cell>
        </row>
        <row r="845">
          <cell r="A845">
            <v>45621</v>
          </cell>
          <cell r="B845">
            <v>2024002569</v>
          </cell>
          <cell r="C845" t="str">
            <v>949-2024</v>
          </cell>
          <cell r="D845">
            <v>1250000</v>
          </cell>
          <cell r="E845">
            <v>1085335069</v>
          </cell>
          <cell r="F845" t="str">
            <v>CARINA DEL CARMEN PASICHANA YAQUENO</v>
          </cell>
        </row>
        <row r="846">
          <cell r="A846">
            <v>45621</v>
          </cell>
          <cell r="B846">
            <v>2024002570</v>
          </cell>
          <cell r="C846" t="str">
            <v>951-2024</v>
          </cell>
          <cell r="D846">
            <v>916300</v>
          </cell>
          <cell r="E846">
            <v>1131085946</v>
          </cell>
          <cell r="F846" t="str">
            <v>JESSICA CAROLINA BENAVIDES GENOY</v>
          </cell>
        </row>
        <row r="847">
          <cell r="A847">
            <v>45621</v>
          </cell>
          <cell r="B847">
            <v>2024002571</v>
          </cell>
          <cell r="C847" t="str">
            <v>744-2024</v>
          </cell>
          <cell r="D847">
            <v>3000000</v>
          </cell>
          <cell r="E847">
            <v>1085327677</v>
          </cell>
          <cell r="F847" t="str">
            <v>JINETH VANESA CONSTAIN LASSO</v>
          </cell>
        </row>
        <row r="848">
          <cell r="A848">
            <v>45621</v>
          </cell>
          <cell r="B848">
            <v>2024002572</v>
          </cell>
          <cell r="C848" t="str">
            <v>915-2024</v>
          </cell>
          <cell r="D848">
            <v>4750000</v>
          </cell>
          <cell r="E848">
            <v>1085343783</v>
          </cell>
          <cell r="F848" t="str">
            <v>DANIELA ALEXANDRA DIAZ GUERRERO</v>
          </cell>
        </row>
        <row r="849">
          <cell r="A849">
            <v>45621</v>
          </cell>
          <cell r="B849">
            <v>2024002573</v>
          </cell>
          <cell r="C849" t="str">
            <v>679-2024</v>
          </cell>
          <cell r="D849">
            <v>6000000</v>
          </cell>
          <cell r="E849">
            <v>36954410</v>
          </cell>
          <cell r="F849" t="str">
            <v>KARINA MARIBEL LUNA LOPEZ</v>
          </cell>
        </row>
        <row r="850">
          <cell r="A850">
            <v>45621</v>
          </cell>
          <cell r="B850">
            <v>2024002574</v>
          </cell>
          <cell r="C850" t="str">
            <v>923-2024</v>
          </cell>
          <cell r="D850">
            <v>6000000</v>
          </cell>
          <cell r="E850">
            <v>1085248939</v>
          </cell>
          <cell r="F850" t="str">
            <v>CARMEN LILIANA ARMERO RUIZ</v>
          </cell>
        </row>
        <row r="851">
          <cell r="A851">
            <v>45621</v>
          </cell>
          <cell r="B851">
            <v>2024002575</v>
          </cell>
          <cell r="C851" t="str">
            <v>806-2024</v>
          </cell>
          <cell r="D851">
            <v>3000000</v>
          </cell>
          <cell r="E851">
            <v>1004726758</v>
          </cell>
          <cell r="F851" t="str">
            <v>NORIDA JULIETH TOBAR ARTEAGA</v>
          </cell>
        </row>
        <row r="852">
          <cell r="A852">
            <v>45621</v>
          </cell>
          <cell r="B852">
            <v>2024002576</v>
          </cell>
          <cell r="C852" t="str">
            <v>828-2024</v>
          </cell>
          <cell r="D852">
            <v>2500000</v>
          </cell>
          <cell r="E852">
            <v>27090145</v>
          </cell>
          <cell r="F852" t="str">
            <v>SANDRA PAOLA ROMO JURADO</v>
          </cell>
        </row>
        <row r="853">
          <cell r="A853">
            <v>45621</v>
          </cell>
          <cell r="B853">
            <v>2024002577</v>
          </cell>
          <cell r="C853" t="str">
            <v>688-2024</v>
          </cell>
          <cell r="D853">
            <v>6000000</v>
          </cell>
          <cell r="E853">
            <v>37013610</v>
          </cell>
          <cell r="F853" t="str">
            <v>MARIA  IDER CASANOVA BURBANO</v>
          </cell>
        </row>
        <row r="854">
          <cell r="A854">
            <v>45621</v>
          </cell>
          <cell r="B854">
            <v>2024002578</v>
          </cell>
          <cell r="C854" t="str">
            <v>957-2024</v>
          </cell>
          <cell r="D854">
            <v>800000</v>
          </cell>
          <cell r="E854">
            <v>1085317833</v>
          </cell>
          <cell r="F854" t="str">
            <v>ANGIE VIVIANA SACANAMBUY PAZ</v>
          </cell>
        </row>
        <row r="855">
          <cell r="A855">
            <v>45621</v>
          </cell>
          <cell r="B855">
            <v>2024002579</v>
          </cell>
          <cell r="C855" t="str">
            <v>708-2024</v>
          </cell>
          <cell r="D855">
            <v>3000000</v>
          </cell>
          <cell r="E855">
            <v>1004709928</v>
          </cell>
          <cell r="F855" t="str">
            <v>DEISY ANDREA MARTÍNEZ NARVAEZ</v>
          </cell>
        </row>
        <row r="856">
          <cell r="A856">
            <v>45621</v>
          </cell>
          <cell r="B856">
            <v>2024002580</v>
          </cell>
          <cell r="C856" t="str">
            <v>661-2024</v>
          </cell>
          <cell r="D856">
            <v>7540000</v>
          </cell>
          <cell r="E856">
            <v>1085345430</v>
          </cell>
          <cell r="F856" t="str">
            <v>MARIA CAMILA PAZ ARCOS</v>
          </cell>
        </row>
        <row r="857">
          <cell r="A857">
            <v>45621</v>
          </cell>
          <cell r="B857">
            <v>2024002581</v>
          </cell>
          <cell r="C857" t="str">
            <v>880-2024</v>
          </cell>
          <cell r="D857">
            <v>7540000</v>
          </cell>
          <cell r="E857">
            <v>1085293105</v>
          </cell>
          <cell r="F857" t="str">
            <v>CAMILO JAVIER OÑATE BUCHELI</v>
          </cell>
        </row>
        <row r="858">
          <cell r="A858">
            <v>45621</v>
          </cell>
          <cell r="B858">
            <v>2024002582</v>
          </cell>
          <cell r="C858" t="str">
            <v>878-2024</v>
          </cell>
          <cell r="D858">
            <v>7540000</v>
          </cell>
          <cell r="E858">
            <v>1233191998</v>
          </cell>
          <cell r="F858" t="str">
            <v>ANYELI KATHERINE CORAL MORA</v>
          </cell>
        </row>
        <row r="859">
          <cell r="A859">
            <v>45621</v>
          </cell>
          <cell r="B859">
            <v>2024002583</v>
          </cell>
          <cell r="C859" t="str">
            <v>872-2024</v>
          </cell>
          <cell r="D859">
            <v>7540000</v>
          </cell>
          <cell r="E859">
            <v>1085344794</v>
          </cell>
          <cell r="F859" t="str">
            <v>IVAN ALEXANDER BEJARANO RAMIREZ</v>
          </cell>
        </row>
        <row r="860">
          <cell r="A860">
            <v>45621</v>
          </cell>
          <cell r="B860">
            <v>2024002584</v>
          </cell>
          <cell r="C860" t="str">
            <v>674-2024</v>
          </cell>
          <cell r="D860">
            <v>7540000</v>
          </cell>
          <cell r="E860">
            <v>7603662</v>
          </cell>
          <cell r="F860" t="str">
            <v>FERNANDO ALBERTO ROMERO SOLANO</v>
          </cell>
        </row>
        <row r="861">
          <cell r="A861">
            <v>45621</v>
          </cell>
          <cell r="B861">
            <v>2024002585</v>
          </cell>
          <cell r="C861" t="str">
            <v>685-2024</v>
          </cell>
          <cell r="D861">
            <v>4750000</v>
          </cell>
          <cell r="E861">
            <v>1233192618</v>
          </cell>
          <cell r="F861" t="str">
            <v>KARLA VALERIA AZA  CEPEDA</v>
          </cell>
        </row>
        <row r="862">
          <cell r="A862">
            <v>45622</v>
          </cell>
          <cell r="B862">
            <v>2024002615</v>
          </cell>
          <cell r="C862" t="str">
            <v>673-2024</v>
          </cell>
          <cell r="D862">
            <v>7540000</v>
          </cell>
          <cell r="E862">
            <v>1233189066</v>
          </cell>
          <cell r="F862" t="str">
            <v>GERALDINE  VIVIANA VILLOTA ARTEAGA</v>
          </cell>
        </row>
        <row r="863">
          <cell r="A863">
            <v>45622</v>
          </cell>
          <cell r="B863">
            <v>2024002624</v>
          </cell>
          <cell r="C863" t="str">
            <v>816-2024</v>
          </cell>
          <cell r="D863">
            <v>3000000</v>
          </cell>
          <cell r="E863">
            <v>1085272140</v>
          </cell>
          <cell r="F863" t="str">
            <v>LADY MABEL CABRERA CORAL</v>
          </cell>
        </row>
        <row r="864">
          <cell r="A864">
            <v>45622</v>
          </cell>
          <cell r="B864">
            <v>2024002625</v>
          </cell>
          <cell r="C864" t="str">
            <v>710-2024</v>
          </cell>
          <cell r="D864">
            <v>3000000</v>
          </cell>
          <cell r="E864">
            <v>1085347540</v>
          </cell>
          <cell r="F864" t="str">
            <v>DANIELA ALEXANDRA PABON YARPAS</v>
          </cell>
        </row>
        <row r="865">
          <cell r="A865">
            <v>45622</v>
          </cell>
          <cell r="B865">
            <v>2024002627</v>
          </cell>
          <cell r="C865" t="str">
            <v>868-2024</v>
          </cell>
          <cell r="D865">
            <v>6000000</v>
          </cell>
          <cell r="E865">
            <v>36757221</v>
          </cell>
          <cell r="F865" t="str">
            <v>FANNY MARIELA CORDOBA MORENO</v>
          </cell>
        </row>
        <row r="866">
          <cell r="A866">
            <v>45622</v>
          </cell>
          <cell r="B866">
            <v>2024002628</v>
          </cell>
          <cell r="C866" t="str">
            <v>839-2024</v>
          </cell>
          <cell r="D866">
            <v>3000000</v>
          </cell>
          <cell r="E866">
            <v>1085309422</v>
          </cell>
          <cell r="F866" t="str">
            <v>LIZETH YOVANA SUAREZ PORTILLA</v>
          </cell>
        </row>
        <row r="867">
          <cell r="A867">
            <v>45622</v>
          </cell>
          <cell r="B867">
            <v>2024002630</v>
          </cell>
          <cell r="C867" t="str">
            <v>669-2024</v>
          </cell>
          <cell r="D867">
            <v>6000000</v>
          </cell>
          <cell r="E867">
            <v>1085253062</v>
          </cell>
          <cell r="F867" t="str">
            <v>LILIANA MAYER BOTINA CRIOLLO</v>
          </cell>
        </row>
        <row r="868">
          <cell r="A868">
            <v>45622</v>
          </cell>
          <cell r="B868">
            <v>2024002631</v>
          </cell>
          <cell r="C868" t="str">
            <v>782-2024</v>
          </cell>
          <cell r="D868">
            <v>3000000</v>
          </cell>
          <cell r="E868">
            <v>1004535234</v>
          </cell>
          <cell r="F868" t="str">
            <v>BRIGIT ESNIT GARCIA MANCHABAJOY</v>
          </cell>
        </row>
        <row r="869">
          <cell r="A869">
            <v>45622</v>
          </cell>
          <cell r="B869">
            <v>2024002632</v>
          </cell>
          <cell r="C869" t="str">
            <v>671-2024</v>
          </cell>
          <cell r="D869">
            <v>7540000</v>
          </cell>
          <cell r="E869">
            <v>1006946167</v>
          </cell>
          <cell r="F869" t="str">
            <v>LIZETH MARCELA ORTÌZ MUÑOZ</v>
          </cell>
        </row>
        <row r="870">
          <cell r="A870">
            <v>45622</v>
          </cell>
          <cell r="B870">
            <v>2024002633</v>
          </cell>
          <cell r="C870" t="str">
            <v>813-2024</v>
          </cell>
          <cell r="D870">
            <v>2500000</v>
          </cell>
          <cell r="E870">
            <v>36757715</v>
          </cell>
          <cell r="F870" t="str">
            <v>SONIA DEL ROCIO GOMEZ NARVAEZ</v>
          </cell>
        </row>
        <row r="871">
          <cell r="A871">
            <v>45622</v>
          </cell>
          <cell r="B871">
            <v>2024002635</v>
          </cell>
          <cell r="C871" t="str">
            <v>740-2024</v>
          </cell>
          <cell r="D871">
            <v>3000000</v>
          </cell>
          <cell r="E871">
            <v>36752202</v>
          </cell>
          <cell r="F871" t="str">
            <v>PAULA ANDREA ROCHA DELGADO</v>
          </cell>
        </row>
        <row r="872">
          <cell r="A872">
            <v>45622</v>
          </cell>
          <cell r="B872">
            <v>2024002636</v>
          </cell>
          <cell r="C872" t="str">
            <v>706-2024</v>
          </cell>
          <cell r="D872">
            <v>3000000</v>
          </cell>
          <cell r="E872">
            <v>36757213</v>
          </cell>
          <cell r="F872" t="str">
            <v>MONICA DEL ROCIO ERAZO RUIZ</v>
          </cell>
        </row>
        <row r="873">
          <cell r="A873">
            <v>45622</v>
          </cell>
          <cell r="B873">
            <v>2024002637</v>
          </cell>
          <cell r="C873" t="str">
            <v>968-2024</v>
          </cell>
          <cell r="D873">
            <v>916300</v>
          </cell>
          <cell r="E873">
            <v>59821968</v>
          </cell>
          <cell r="F873" t="str">
            <v>MARIA  VICTORIA TABLA  MARTINEZ</v>
          </cell>
        </row>
        <row r="874">
          <cell r="A874">
            <v>45622</v>
          </cell>
          <cell r="B874">
            <v>2024002638</v>
          </cell>
          <cell r="C874" t="str">
            <v>906-2024</v>
          </cell>
          <cell r="D874">
            <v>4750000</v>
          </cell>
          <cell r="E874">
            <v>59651018</v>
          </cell>
          <cell r="F874" t="str">
            <v>DIANA MARIA ERASO ALAVA</v>
          </cell>
        </row>
        <row r="875">
          <cell r="A875">
            <v>45622</v>
          </cell>
          <cell r="B875">
            <v>2024002639</v>
          </cell>
          <cell r="C875" t="str">
            <v>714-2024</v>
          </cell>
          <cell r="D875">
            <v>3000000</v>
          </cell>
          <cell r="E875">
            <v>59314601</v>
          </cell>
          <cell r="F875" t="str">
            <v>CAROL VIVIANA RODRIGUEZ  CARDENAS</v>
          </cell>
        </row>
        <row r="876">
          <cell r="A876">
            <v>45622</v>
          </cell>
          <cell r="B876">
            <v>2024002640</v>
          </cell>
          <cell r="C876" t="str">
            <v>956-2024</v>
          </cell>
          <cell r="D876">
            <v>800000</v>
          </cell>
          <cell r="E876">
            <v>1089846829</v>
          </cell>
          <cell r="F876" t="str">
            <v>LUZ ADRIANA CERON BASANTE</v>
          </cell>
        </row>
        <row r="877">
          <cell r="A877">
            <v>45622</v>
          </cell>
          <cell r="B877">
            <v>2024002641</v>
          </cell>
          <cell r="C877" t="str">
            <v>783-2024</v>
          </cell>
          <cell r="D877">
            <v>2500000</v>
          </cell>
          <cell r="E877">
            <v>1085327836</v>
          </cell>
          <cell r="F877" t="str">
            <v>ANGELA ESTEFANYA NASPIRAN  JOJOA</v>
          </cell>
        </row>
        <row r="878">
          <cell r="A878">
            <v>45622</v>
          </cell>
          <cell r="B878">
            <v>2024002642</v>
          </cell>
          <cell r="C878" t="str">
            <v>725-2024</v>
          </cell>
          <cell r="D878">
            <v>3000000</v>
          </cell>
          <cell r="E878">
            <v>1081592303</v>
          </cell>
          <cell r="F878" t="str">
            <v>MARILIN  ZAMBRANO OBANDO</v>
          </cell>
        </row>
        <row r="879">
          <cell r="A879">
            <v>45622</v>
          </cell>
          <cell r="B879">
            <v>2024002643</v>
          </cell>
          <cell r="C879" t="str">
            <v>665-2024</v>
          </cell>
          <cell r="D879">
            <v>4825000</v>
          </cell>
          <cell r="E879">
            <v>1085267184</v>
          </cell>
          <cell r="F879" t="str">
            <v>ANGELA PAOLA BOLAÐOS ARGOTI</v>
          </cell>
        </row>
        <row r="880">
          <cell r="A880">
            <v>45622</v>
          </cell>
          <cell r="B880">
            <v>2024002644</v>
          </cell>
          <cell r="C880" t="str">
            <v>699-2024</v>
          </cell>
          <cell r="D880">
            <v>3000000</v>
          </cell>
          <cell r="E880">
            <v>1081272025</v>
          </cell>
          <cell r="F880" t="str">
            <v>ANGIE GABRIELA ENRIQUEZ TACAN</v>
          </cell>
        </row>
        <row r="881">
          <cell r="A881">
            <v>45622</v>
          </cell>
          <cell r="B881">
            <v>2024002645</v>
          </cell>
          <cell r="C881" t="str">
            <v>728-2024</v>
          </cell>
          <cell r="D881">
            <v>3000000</v>
          </cell>
          <cell r="E881">
            <v>1193385397</v>
          </cell>
          <cell r="F881" t="str">
            <v>KAROL ESTEFANY MIRANDA TOBAR</v>
          </cell>
        </row>
        <row r="882">
          <cell r="A882">
            <v>45622</v>
          </cell>
          <cell r="B882">
            <v>2024002646</v>
          </cell>
          <cell r="C882" t="str">
            <v>761-2024</v>
          </cell>
          <cell r="D882">
            <v>3000000</v>
          </cell>
          <cell r="E882">
            <v>1233189234</v>
          </cell>
          <cell r="F882" t="str">
            <v>YULLI KAROLINA CASTILLO PAZ</v>
          </cell>
        </row>
        <row r="883">
          <cell r="A883">
            <v>45622</v>
          </cell>
          <cell r="B883">
            <v>2024002647</v>
          </cell>
          <cell r="C883" t="str">
            <v>803-2024</v>
          </cell>
          <cell r="D883">
            <v>3000000</v>
          </cell>
          <cell r="E883">
            <v>1144206777</v>
          </cell>
          <cell r="F883" t="str">
            <v>BRYAN ANDRES BASTIDAS RUALES</v>
          </cell>
        </row>
        <row r="884">
          <cell r="A884">
            <v>45622</v>
          </cell>
          <cell r="B884">
            <v>2024002648</v>
          </cell>
          <cell r="C884" t="str">
            <v>869-2024</v>
          </cell>
          <cell r="D884">
            <v>3000000</v>
          </cell>
          <cell r="E884">
            <v>1085324685</v>
          </cell>
          <cell r="F884" t="str">
            <v>LINA MARIA PIZANO PEREZ</v>
          </cell>
        </row>
        <row r="885">
          <cell r="A885">
            <v>45622</v>
          </cell>
          <cell r="B885">
            <v>2024002649</v>
          </cell>
          <cell r="C885" t="str">
            <v>808-2024</v>
          </cell>
          <cell r="D885">
            <v>4825000</v>
          </cell>
          <cell r="E885">
            <v>1085311814</v>
          </cell>
          <cell r="F885" t="str">
            <v>LAURA CAROLINA DELGADO BASTIDAS</v>
          </cell>
        </row>
        <row r="886">
          <cell r="A886">
            <v>45622</v>
          </cell>
          <cell r="B886">
            <v>2024002650</v>
          </cell>
          <cell r="C886" t="str">
            <v>954-2024</v>
          </cell>
          <cell r="D886">
            <v>1100000</v>
          </cell>
          <cell r="E886">
            <v>59833899</v>
          </cell>
          <cell r="F886" t="str">
            <v>ANDREA LILIANA LAGUNA  RUALES</v>
          </cell>
        </row>
        <row r="887">
          <cell r="A887">
            <v>45622</v>
          </cell>
          <cell r="B887">
            <v>2024002651</v>
          </cell>
          <cell r="C887" t="str">
            <v>800-2024</v>
          </cell>
          <cell r="D887">
            <v>2500000</v>
          </cell>
          <cell r="E887">
            <v>1233189896</v>
          </cell>
          <cell r="F887" t="str">
            <v>NICOLAS EMILIO MENA  JOJOA</v>
          </cell>
        </row>
        <row r="888">
          <cell r="A888">
            <v>45622</v>
          </cell>
          <cell r="B888">
            <v>2024002652</v>
          </cell>
          <cell r="C888" t="str">
            <v>909-2024</v>
          </cell>
          <cell r="D888">
            <v>3000000</v>
          </cell>
          <cell r="E888">
            <v>1085319295</v>
          </cell>
          <cell r="F888" t="str">
            <v>CLAUDIA EDILMA PAZ GUERRA</v>
          </cell>
        </row>
        <row r="889">
          <cell r="A889">
            <v>45622</v>
          </cell>
          <cell r="B889">
            <v>2024002653</v>
          </cell>
          <cell r="C889" t="str">
            <v>834-2024</v>
          </cell>
          <cell r="D889">
            <v>3000000</v>
          </cell>
          <cell r="E889">
            <v>69028150</v>
          </cell>
          <cell r="F889" t="str">
            <v>LYNN JANINA ORTIZ PAZ</v>
          </cell>
        </row>
        <row r="890">
          <cell r="A890">
            <v>45622</v>
          </cell>
          <cell r="B890">
            <v>2024002654</v>
          </cell>
          <cell r="C890" t="str">
            <v>717-2024</v>
          </cell>
          <cell r="D890">
            <v>4750000</v>
          </cell>
          <cell r="E890">
            <v>1085324546</v>
          </cell>
          <cell r="F890" t="str">
            <v>ERIKA PAOLA ESTRADA  BURBANO</v>
          </cell>
        </row>
        <row r="891">
          <cell r="A891">
            <v>45622</v>
          </cell>
          <cell r="B891">
            <v>2024002655</v>
          </cell>
          <cell r="C891" t="str">
            <v>873-2024</v>
          </cell>
          <cell r="D891">
            <v>3000000</v>
          </cell>
          <cell r="E891">
            <v>1193265360</v>
          </cell>
          <cell r="F891" t="str">
            <v>ADRIANA SOFIA ISANDARA NUPAN</v>
          </cell>
        </row>
        <row r="892">
          <cell r="A892">
            <v>45623</v>
          </cell>
          <cell r="B892">
            <v>2024002656</v>
          </cell>
          <cell r="C892" t="str">
            <v>694-2024</v>
          </cell>
          <cell r="D892">
            <v>3000000</v>
          </cell>
          <cell r="E892">
            <v>1086362994</v>
          </cell>
          <cell r="F892" t="str">
            <v>SARA  VICTORIA ALVAREZ FIGUEROA</v>
          </cell>
        </row>
        <row r="893">
          <cell r="A893">
            <v>45623</v>
          </cell>
          <cell r="B893">
            <v>2024002658</v>
          </cell>
          <cell r="C893" t="str">
            <v>931-2024</v>
          </cell>
          <cell r="D893">
            <v>7540000</v>
          </cell>
          <cell r="E893">
            <v>1085329980</v>
          </cell>
          <cell r="F893" t="str">
            <v>MARIA  CAMILA JURADO PAZ</v>
          </cell>
        </row>
        <row r="894">
          <cell r="A894">
            <v>45623</v>
          </cell>
          <cell r="B894">
            <v>2024002659</v>
          </cell>
          <cell r="C894" t="str">
            <v>939-2024</v>
          </cell>
          <cell r="D894">
            <v>3000000</v>
          </cell>
          <cell r="E894">
            <v>59588823</v>
          </cell>
          <cell r="F894" t="str">
            <v>ZANDRA YADIRA GOMEZ ZAMBRANO</v>
          </cell>
        </row>
        <row r="895">
          <cell r="A895">
            <v>45623</v>
          </cell>
          <cell r="B895">
            <v>2024002660</v>
          </cell>
          <cell r="C895" t="str">
            <v>662-2024</v>
          </cell>
          <cell r="D895">
            <v>7540000</v>
          </cell>
          <cell r="E895">
            <v>1193202097</v>
          </cell>
          <cell r="F895" t="str">
            <v>VERONICA SOFIA HUERTAS ARCINIEGAS</v>
          </cell>
        </row>
        <row r="896">
          <cell r="A896">
            <v>45623</v>
          </cell>
          <cell r="B896">
            <v>2024002661</v>
          </cell>
          <cell r="C896" t="str">
            <v>711-2024</v>
          </cell>
          <cell r="D896">
            <v>3000000</v>
          </cell>
          <cell r="E896">
            <v>1007356378</v>
          </cell>
          <cell r="F896" t="str">
            <v>NAYIBI JANED MELO DELGADO</v>
          </cell>
        </row>
        <row r="897">
          <cell r="A897">
            <v>45623</v>
          </cell>
          <cell r="B897">
            <v>2024002662</v>
          </cell>
          <cell r="C897" t="str">
            <v>894-2024</v>
          </cell>
          <cell r="D897">
            <v>3000000</v>
          </cell>
          <cell r="E897">
            <v>59311295</v>
          </cell>
          <cell r="F897" t="str">
            <v>BASTIDAS MORA MYRIAM JANNETH</v>
          </cell>
        </row>
        <row r="898">
          <cell r="A898">
            <v>45623</v>
          </cell>
          <cell r="B898">
            <v>2024002663</v>
          </cell>
          <cell r="C898" t="str">
            <v>757-2024</v>
          </cell>
          <cell r="D898">
            <v>6000000</v>
          </cell>
          <cell r="E898">
            <v>27109314</v>
          </cell>
          <cell r="F898" t="str">
            <v>GABRIELA ALEJANDRA GUERRERO BRAVO</v>
          </cell>
        </row>
        <row r="899">
          <cell r="A899">
            <v>45623</v>
          </cell>
          <cell r="B899">
            <v>2024002664</v>
          </cell>
          <cell r="C899" t="str">
            <v>844-2024</v>
          </cell>
          <cell r="D899">
            <v>2500000</v>
          </cell>
          <cell r="E899">
            <v>1085320930</v>
          </cell>
          <cell r="F899" t="str">
            <v>LINA YEZMIN DE LA CRUZ CUSIS</v>
          </cell>
        </row>
        <row r="900">
          <cell r="A900">
            <v>45623</v>
          </cell>
          <cell r="B900">
            <v>2024002665</v>
          </cell>
          <cell r="C900" t="str">
            <v>787-2024</v>
          </cell>
          <cell r="D900">
            <v>3000000</v>
          </cell>
          <cell r="E900">
            <v>59833702</v>
          </cell>
          <cell r="F900" t="str">
            <v>AMANDA  LOPEZ HERNANDEZ</v>
          </cell>
        </row>
        <row r="901">
          <cell r="A901">
            <v>45623</v>
          </cell>
          <cell r="B901">
            <v>2024002666</v>
          </cell>
          <cell r="C901" t="str">
            <v>933-2024</v>
          </cell>
          <cell r="D901">
            <v>1250000</v>
          </cell>
          <cell r="E901">
            <v>12994466</v>
          </cell>
          <cell r="F901" t="str">
            <v>JHON JAIRO GOMAJOA ACHICANOY</v>
          </cell>
        </row>
        <row r="902">
          <cell r="A902">
            <v>45623</v>
          </cell>
          <cell r="B902">
            <v>2024002667</v>
          </cell>
          <cell r="C902" t="str">
            <v>702-2024</v>
          </cell>
          <cell r="D902">
            <v>7540000</v>
          </cell>
          <cell r="E902">
            <v>80765093</v>
          </cell>
          <cell r="F902" t="str">
            <v>FRANCISCO  RAFAEL ORTÍZ BENÌTEZ</v>
          </cell>
        </row>
        <row r="903">
          <cell r="A903">
            <v>45623</v>
          </cell>
          <cell r="B903">
            <v>2024002668</v>
          </cell>
          <cell r="C903" t="str">
            <v>727-2024</v>
          </cell>
          <cell r="D903">
            <v>3000000</v>
          </cell>
          <cell r="E903">
            <v>1089243630</v>
          </cell>
          <cell r="F903" t="str">
            <v>YENIFER NAYIBE MENESES TOBAR</v>
          </cell>
        </row>
        <row r="904">
          <cell r="A904">
            <v>45623</v>
          </cell>
          <cell r="B904">
            <v>2024002669</v>
          </cell>
          <cell r="C904" t="str">
            <v>771-2024</v>
          </cell>
          <cell r="D904">
            <v>3000000</v>
          </cell>
          <cell r="E904">
            <v>59834953</v>
          </cell>
          <cell r="F904" t="str">
            <v>PATRICIA YOLANDA PAZ  DELGADO</v>
          </cell>
        </row>
        <row r="905">
          <cell r="A905">
            <v>45623</v>
          </cell>
          <cell r="B905">
            <v>2024002670</v>
          </cell>
          <cell r="C905" t="str">
            <v>720-2024</v>
          </cell>
          <cell r="D905">
            <v>4750000</v>
          </cell>
          <cell r="E905">
            <v>1085345772</v>
          </cell>
          <cell r="F905" t="str">
            <v>MARIA ISABEL ALVAREZ CAICEDO</v>
          </cell>
        </row>
        <row r="906">
          <cell r="A906">
            <v>45623</v>
          </cell>
          <cell r="B906">
            <v>2024002671</v>
          </cell>
          <cell r="C906" t="str">
            <v>785-2024</v>
          </cell>
          <cell r="D906">
            <v>2500000</v>
          </cell>
          <cell r="E906">
            <v>37087268</v>
          </cell>
          <cell r="F906" t="str">
            <v>ALEXANDRA MARIA ORTEGA ROSERO</v>
          </cell>
        </row>
        <row r="907">
          <cell r="A907">
            <v>45623</v>
          </cell>
          <cell r="B907">
            <v>2024002672</v>
          </cell>
          <cell r="C907" t="str">
            <v>876-2024</v>
          </cell>
          <cell r="D907">
            <v>3000000</v>
          </cell>
          <cell r="E907">
            <v>1085330237</v>
          </cell>
          <cell r="F907" t="str">
            <v>LUZ  MARINA BENAVIDES  BASTIDAS</v>
          </cell>
        </row>
        <row r="908">
          <cell r="A908">
            <v>45624</v>
          </cell>
          <cell r="B908">
            <v>2024002692</v>
          </cell>
          <cell r="C908" t="str">
            <v>786-2024</v>
          </cell>
          <cell r="D908">
            <v>2500000</v>
          </cell>
          <cell r="E908">
            <v>59830219</v>
          </cell>
          <cell r="F908" t="str">
            <v>ADRIANA GABRIELA DIAZ MONTENEGRO</v>
          </cell>
        </row>
        <row r="909">
          <cell r="A909">
            <v>45624</v>
          </cell>
          <cell r="B909">
            <v>2024002693</v>
          </cell>
          <cell r="C909" t="str">
            <v>818-2024</v>
          </cell>
          <cell r="D909">
            <v>4825000</v>
          </cell>
          <cell r="E909">
            <v>1085337969</v>
          </cell>
          <cell r="F909" t="str">
            <v>SANTIAGO NICOLAS TULCAN REGALADO</v>
          </cell>
        </row>
        <row r="910">
          <cell r="A910">
            <v>45624</v>
          </cell>
          <cell r="B910">
            <v>2024002695</v>
          </cell>
          <cell r="C910" t="str">
            <v>745-2024</v>
          </cell>
          <cell r="D910">
            <v>3000000</v>
          </cell>
          <cell r="E910">
            <v>1085296353</v>
          </cell>
          <cell r="F910" t="str">
            <v>VERONICA ROXANA MORAN VILLOTA</v>
          </cell>
        </row>
        <row r="911">
          <cell r="A911">
            <v>45624</v>
          </cell>
          <cell r="B911">
            <v>2024002696</v>
          </cell>
          <cell r="C911" t="str">
            <v>723-2024</v>
          </cell>
          <cell r="D911">
            <v>4750000</v>
          </cell>
          <cell r="E911">
            <v>59816986</v>
          </cell>
          <cell r="F911" t="str">
            <v>INÉS MERCEDES LÓPEZ TORRES</v>
          </cell>
        </row>
        <row r="912">
          <cell r="A912">
            <v>45624</v>
          </cell>
          <cell r="B912">
            <v>2024002697</v>
          </cell>
          <cell r="C912" t="str">
            <v>962-2024</v>
          </cell>
          <cell r="D912">
            <v>2200000</v>
          </cell>
          <cell r="E912">
            <v>1131085780</v>
          </cell>
          <cell r="F912" t="str">
            <v>LEODAN DANIEL NARVAEZ NARVAEZ</v>
          </cell>
        </row>
        <row r="913">
          <cell r="A913">
            <v>45624</v>
          </cell>
          <cell r="B913">
            <v>2024002698</v>
          </cell>
          <cell r="C913" t="str">
            <v>680-2024</v>
          </cell>
          <cell r="D913">
            <v>6000000</v>
          </cell>
          <cell r="E913">
            <v>59836926</v>
          </cell>
          <cell r="F913" t="str">
            <v>DEYANIRA  BADOS DAZA</v>
          </cell>
        </row>
        <row r="914">
          <cell r="A914">
            <v>45624</v>
          </cell>
          <cell r="B914">
            <v>2024002700</v>
          </cell>
          <cell r="C914" t="str">
            <v>682-2024</v>
          </cell>
          <cell r="D914">
            <v>4750000</v>
          </cell>
          <cell r="E914">
            <v>87060703</v>
          </cell>
          <cell r="F914" t="str">
            <v>JESUS ARMANDO MARTÍNEZ GÓMEZ</v>
          </cell>
        </row>
        <row r="915">
          <cell r="A915">
            <v>45624</v>
          </cell>
          <cell r="B915">
            <v>2024002702</v>
          </cell>
          <cell r="C915" t="str">
            <v>908-2024</v>
          </cell>
          <cell r="D915">
            <v>3000000</v>
          </cell>
          <cell r="E915">
            <v>1085252263</v>
          </cell>
          <cell r="F915" t="str">
            <v>DEISY JOHANNA BASTIDAS JOJOA</v>
          </cell>
        </row>
        <row r="916">
          <cell r="A916">
            <v>45624</v>
          </cell>
          <cell r="B916">
            <v>2024002704</v>
          </cell>
          <cell r="C916" t="str">
            <v>833-2024</v>
          </cell>
          <cell r="D916">
            <v>3000000</v>
          </cell>
          <cell r="E916">
            <v>27082649</v>
          </cell>
          <cell r="F916" t="str">
            <v xml:space="preserve">PATRICIA MARIBEL MARTINEZ </v>
          </cell>
        </row>
        <row r="917">
          <cell r="A917">
            <v>45624</v>
          </cell>
          <cell r="B917">
            <v>2024002705</v>
          </cell>
          <cell r="C917" t="str">
            <v>932-2024</v>
          </cell>
          <cell r="D917">
            <v>4825000</v>
          </cell>
          <cell r="E917">
            <v>1081595485</v>
          </cell>
          <cell r="F917" t="str">
            <v>ALEXA DAYANA CERON BRAVO</v>
          </cell>
        </row>
        <row r="918">
          <cell r="A918">
            <v>45624</v>
          </cell>
          <cell r="B918">
            <v>2024002707</v>
          </cell>
          <cell r="C918" t="str">
            <v>736-2024</v>
          </cell>
          <cell r="D918">
            <v>3000000</v>
          </cell>
          <cell r="E918">
            <v>1085255972</v>
          </cell>
          <cell r="F918" t="str">
            <v>ANDREA PAOLA MONTES PANTOJA</v>
          </cell>
        </row>
        <row r="919">
          <cell r="A919">
            <v>45624</v>
          </cell>
          <cell r="B919">
            <v>2024002708</v>
          </cell>
          <cell r="C919" t="str">
            <v>743-2024</v>
          </cell>
          <cell r="D919">
            <v>3000000</v>
          </cell>
          <cell r="E919">
            <v>98382500</v>
          </cell>
          <cell r="F919" t="str">
            <v>JOSE JAVIER PINTA YAQUENO</v>
          </cell>
        </row>
        <row r="920">
          <cell r="A920">
            <v>45624</v>
          </cell>
          <cell r="B920">
            <v>2024002709</v>
          </cell>
          <cell r="C920" t="str">
            <v>686-2024</v>
          </cell>
          <cell r="D920">
            <v>4750000</v>
          </cell>
          <cell r="E920">
            <v>59312865</v>
          </cell>
          <cell r="F920" t="str">
            <v>DIANA CAROLINA CORTES TAPIA</v>
          </cell>
        </row>
        <row r="921">
          <cell r="A921">
            <v>45624</v>
          </cell>
          <cell r="B921">
            <v>2024002710</v>
          </cell>
          <cell r="C921" t="str">
            <v>737-2024</v>
          </cell>
          <cell r="D921">
            <v>4825000</v>
          </cell>
          <cell r="E921">
            <v>1085321943</v>
          </cell>
          <cell r="F921" t="str">
            <v>MARIA FERNANDA INGUILAN CARRERA</v>
          </cell>
        </row>
        <row r="922">
          <cell r="A922">
            <v>45624</v>
          </cell>
          <cell r="B922">
            <v>2024002711</v>
          </cell>
          <cell r="C922" t="str">
            <v>821-2024</v>
          </cell>
          <cell r="D922">
            <v>3000000</v>
          </cell>
          <cell r="E922">
            <v>1085313463</v>
          </cell>
          <cell r="F922" t="str">
            <v>JAZMIN DEL CARMEN NUPAN BURBANO</v>
          </cell>
        </row>
        <row r="923">
          <cell r="A923">
            <v>45624</v>
          </cell>
          <cell r="B923">
            <v>2024002712</v>
          </cell>
          <cell r="C923" t="str">
            <v>821-2024</v>
          </cell>
          <cell r="D923">
            <v>3000000</v>
          </cell>
          <cell r="E923">
            <v>1085313463</v>
          </cell>
          <cell r="F923" t="str">
            <v>JAZMIN DEL CARMEN NUPAN BURBANO</v>
          </cell>
        </row>
        <row r="924">
          <cell r="A924">
            <v>45624</v>
          </cell>
          <cell r="B924">
            <v>2024002713</v>
          </cell>
          <cell r="C924" t="str">
            <v>884-2024</v>
          </cell>
          <cell r="D924">
            <v>2500000</v>
          </cell>
          <cell r="E924">
            <v>59311646</v>
          </cell>
          <cell r="F924" t="str">
            <v>DIANA CAROLINA MORAN CRUZ</v>
          </cell>
        </row>
        <row r="925">
          <cell r="A925">
            <v>45624</v>
          </cell>
          <cell r="B925">
            <v>2024002714</v>
          </cell>
          <cell r="C925" t="str">
            <v>825-2024</v>
          </cell>
          <cell r="D925">
            <v>6000000</v>
          </cell>
          <cell r="E925">
            <v>27097745</v>
          </cell>
          <cell r="F925" t="str">
            <v>VIVEROS BRAVO NORA</v>
          </cell>
        </row>
        <row r="926">
          <cell r="A926">
            <v>45624</v>
          </cell>
          <cell r="B926">
            <v>2024002715</v>
          </cell>
          <cell r="C926" t="str">
            <v>779-2024</v>
          </cell>
          <cell r="D926">
            <v>3000000</v>
          </cell>
          <cell r="E926">
            <v>1085286742</v>
          </cell>
          <cell r="F926" t="str">
            <v>VANESSA KATHERINE JOJOA ARIAS</v>
          </cell>
        </row>
        <row r="927">
          <cell r="A927">
            <v>45625</v>
          </cell>
          <cell r="B927">
            <v>2024002718</v>
          </cell>
          <cell r="C927" t="str">
            <v>885-2024</v>
          </cell>
          <cell r="D927">
            <v>2500000</v>
          </cell>
          <cell r="E927">
            <v>1085289798</v>
          </cell>
          <cell r="F927" t="str">
            <v>DIEGO FERNANDO DELGADO ERASO</v>
          </cell>
        </row>
        <row r="928">
          <cell r="A928">
            <v>45625</v>
          </cell>
          <cell r="B928">
            <v>2024002719</v>
          </cell>
          <cell r="C928" t="str">
            <v>718-2024</v>
          </cell>
          <cell r="D928">
            <v>3000000</v>
          </cell>
          <cell r="E928">
            <v>27087122</v>
          </cell>
          <cell r="F928" t="str">
            <v>MARITZA ROCIO OLIVA CUZ</v>
          </cell>
        </row>
        <row r="929">
          <cell r="A929">
            <v>45625</v>
          </cell>
          <cell r="B929">
            <v>2024002720</v>
          </cell>
          <cell r="C929" t="str">
            <v>832-2024</v>
          </cell>
          <cell r="D929">
            <v>3000000</v>
          </cell>
          <cell r="E929">
            <v>59311233</v>
          </cell>
          <cell r="F929" t="str">
            <v>YULI XIMENA TAPIA ORDOÑEZ</v>
          </cell>
        </row>
        <row r="930">
          <cell r="A930">
            <v>45625</v>
          </cell>
          <cell r="B930">
            <v>2024002721</v>
          </cell>
          <cell r="C930" t="str">
            <v>656-2024</v>
          </cell>
          <cell r="D930">
            <v>7540000</v>
          </cell>
          <cell r="E930">
            <v>1085335767</v>
          </cell>
          <cell r="F930" t="str">
            <v>LEIDY CRISTINA RODRÌGUEZ LÓPEZ</v>
          </cell>
        </row>
        <row r="931">
          <cell r="A931">
            <v>45625</v>
          </cell>
          <cell r="B931">
            <v>2024002722</v>
          </cell>
          <cell r="C931" t="str">
            <v>865-2024</v>
          </cell>
          <cell r="D931">
            <v>3000000</v>
          </cell>
          <cell r="E931">
            <v>1081276146</v>
          </cell>
          <cell r="F931" t="str">
            <v>LUISA FERNANDA MELO HIGIDIO</v>
          </cell>
        </row>
        <row r="932">
          <cell r="A932">
            <v>45625</v>
          </cell>
          <cell r="B932">
            <v>2024002723</v>
          </cell>
          <cell r="C932" t="str">
            <v>864-2024</v>
          </cell>
          <cell r="D932">
            <v>2500000</v>
          </cell>
          <cell r="E932">
            <v>27309586</v>
          </cell>
          <cell r="F932" t="str">
            <v>LUCENY CENIDIA DAVID  RODRIGUEZ</v>
          </cell>
        </row>
        <row r="933">
          <cell r="A933">
            <v>45625</v>
          </cell>
          <cell r="B933">
            <v>2024002724</v>
          </cell>
          <cell r="C933" t="str">
            <v>854-2024</v>
          </cell>
          <cell r="D933">
            <v>3000000</v>
          </cell>
          <cell r="E933">
            <v>59310433</v>
          </cell>
          <cell r="F933" t="str">
            <v>ROSERO MIRANDA LEIDY LIZETH</v>
          </cell>
        </row>
        <row r="934">
          <cell r="A934">
            <v>45625</v>
          </cell>
          <cell r="B934">
            <v>2024002725</v>
          </cell>
          <cell r="C934" t="str">
            <v>793-2024</v>
          </cell>
          <cell r="D934">
            <v>3000000</v>
          </cell>
          <cell r="E934">
            <v>1233188273</v>
          </cell>
          <cell r="F934" t="str">
            <v>ALEJANDRA MARLENY PATIÑO VALENCIA</v>
          </cell>
        </row>
        <row r="935">
          <cell r="A935">
            <v>45625</v>
          </cell>
          <cell r="B935">
            <v>2024002726</v>
          </cell>
          <cell r="C935" t="str">
            <v>907-2024</v>
          </cell>
          <cell r="D935">
            <v>4825000</v>
          </cell>
          <cell r="E935">
            <v>1085265622</v>
          </cell>
          <cell r="F935" t="str">
            <v>VIVIANA MERCEDES PIZANO PORTILLA</v>
          </cell>
        </row>
        <row r="936">
          <cell r="A936">
            <v>45625</v>
          </cell>
          <cell r="B936">
            <v>2024002727</v>
          </cell>
          <cell r="C936" t="str">
            <v>794-2024</v>
          </cell>
          <cell r="D936">
            <v>3000000</v>
          </cell>
          <cell r="E936">
            <v>1010085543</v>
          </cell>
          <cell r="F936" t="str">
            <v>DANIELA VANESA MONTANCHEZ GOMAJOA</v>
          </cell>
        </row>
        <row r="937">
          <cell r="A937">
            <v>45625</v>
          </cell>
          <cell r="B937">
            <v>2024002728</v>
          </cell>
          <cell r="C937" t="str">
            <v>848-2024</v>
          </cell>
          <cell r="D937">
            <v>4825000</v>
          </cell>
          <cell r="E937">
            <v>1085321578</v>
          </cell>
          <cell r="F937" t="str">
            <v>CAROL  SUVANY HERRERA ERAZO</v>
          </cell>
        </row>
        <row r="938">
          <cell r="A938">
            <v>45625</v>
          </cell>
          <cell r="B938">
            <v>2024002729</v>
          </cell>
          <cell r="C938" t="str">
            <v>881-2024</v>
          </cell>
          <cell r="D938">
            <v>6000000</v>
          </cell>
          <cell r="E938">
            <v>1085254153</v>
          </cell>
          <cell r="F938" t="str">
            <v>LISETH ELIANA BENAVIDES ARCOS</v>
          </cell>
        </row>
        <row r="939">
          <cell r="A939">
            <v>45625</v>
          </cell>
          <cell r="B939">
            <v>2024002730</v>
          </cell>
          <cell r="C939" t="str">
            <v>814-2024</v>
          </cell>
          <cell r="D939">
            <v>4825000</v>
          </cell>
          <cell r="E939">
            <v>1085269530</v>
          </cell>
          <cell r="F939" t="str">
            <v xml:space="preserve">CLARA MARIA ACOSTA </v>
          </cell>
        </row>
        <row r="940">
          <cell r="A940">
            <v>45625</v>
          </cell>
          <cell r="B940">
            <v>2024002731</v>
          </cell>
          <cell r="C940" t="str">
            <v>926-2024</v>
          </cell>
          <cell r="D940">
            <v>2412500</v>
          </cell>
          <cell r="E940">
            <v>1085324891</v>
          </cell>
          <cell r="F940" t="str">
            <v>NICOLAS ALEJANDRO ROSERO MORILLO</v>
          </cell>
        </row>
        <row r="941">
          <cell r="A941">
            <v>45625</v>
          </cell>
          <cell r="B941">
            <v>2024002732</v>
          </cell>
          <cell r="C941" t="str">
            <v>860-2024</v>
          </cell>
          <cell r="D941">
            <v>3000000</v>
          </cell>
          <cell r="E941">
            <v>1004299312</v>
          </cell>
          <cell r="F941" t="str">
            <v>MARIA ALEJANDRA BOTINA DELGADO</v>
          </cell>
        </row>
        <row r="942">
          <cell r="A942">
            <v>45625</v>
          </cell>
          <cell r="B942">
            <v>2024002733</v>
          </cell>
          <cell r="C942" t="str">
            <v>886-2024</v>
          </cell>
          <cell r="D942">
            <v>3000000</v>
          </cell>
          <cell r="E942">
            <v>1004215136</v>
          </cell>
          <cell r="F942" t="str">
            <v xml:space="preserve">JESICA GERALDINE MORALES </v>
          </cell>
        </row>
        <row r="943">
          <cell r="A943">
            <v>45625</v>
          </cell>
          <cell r="B943">
            <v>2024002734</v>
          </cell>
          <cell r="C943" t="str">
            <v>732-2024</v>
          </cell>
          <cell r="D943">
            <v>3000000</v>
          </cell>
          <cell r="E943">
            <v>1085344082</v>
          </cell>
          <cell r="F943" t="str">
            <v>NATALIA LIZETH AGUIRRE SALAZAR</v>
          </cell>
        </row>
        <row r="944">
          <cell r="A944">
            <v>45625</v>
          </cell>
          <cell r="B944">
            <v>2024002735</v>
          </cell>
          <cell r="C944" t="str">
            <v>838-2024</v>
          </cell>
          <cell r="D944">
            <v>2500000</v>
          </cell>
          <cell r="E944">
            <v>1085337465</v>
          </cell>
          <cell r="F944" t="str">
            <v>LESLY NATHALIA MAIGUAL JURADO</v>
          </cell>
        </row>
        <row r="945">
          <cell r="A945">
            <v>45625</v>
          </cell>
          <cell r="B945">
            <v>2024002736</v>
          </cell>
          <cell r="C945" t="str">
            <v>666-2024</v>
          </cell>
          <cell r="D945">
            <v>4825000</v>
          </cell>
          <cell r="E945">
            <v>1087643211</v>
          </cell>
          <cell r="F945" t="str">
            <v>NIEVES FERNANDA AZZA ORDOÑEZ</v>
          </cell>
        </row>
        <row r="946">
          <cell r="A946">
            <v>45625</v>
          </cell>
          <cell r="B946">
            <v>2024002737</v>
          </cell>
          <cell r="C946" t="str">
            <v>749-2024</v>
          </cell>
          <cell r="D946">
            <v>3000000</v>
          </cell>
          <cell r="E946">
            <v>1085266584</v>
          </cell>
          <cell r="F946" t="str">
            <v>MARIA ALEJANDRA BENAVIDES AYALA</v>
          </cell>
        </row>
        <row r="947">
          <cell r="A947">
            <v>45625</v>
          </cell>
          <cell r="B947">
            <v>2024002738</v>
          </cell>
          <cell r="C947" t="str">
            <v>709-2024</v>
          </cell>
          <cell r="D947">
            <v>4750000</v>
          </cell>
          <cell r="E947">
            <v>1193383306</v>
          </cell>
          <cell r="F947" t="str">
            <v>MARIA  DE LOS ANGELES ACOSTA ROSERO</v>
          </cell>
        </row>
        <row r="948">
          <cell r="A948">
            <v>45625</v>
          </cell>
          <cell r="B948">
            <v>2024002739</v>
          </cell>
          <cell r="C948" t="str">
            <v>823-2024</v>
          </cell>
          <cell r="D948">
            <v>2500000</v>
          </cell>
          <cell r="E948">
            <v>1086016308</v>
          </cell>
          <cell r="F948" t="str">
            <v>AYDE JACKELINE CABRERA CRIOLLO</v>
          </cell>
        </row>
        <row r="949">
          <cell r="A949">
            <v>45625</v>
          </cell>
          <cell r="B949">
            <v>2024002740</v>
          </cell>
          <cell r="C949" t="str">
            <v>950-2024</v>
          </cell>
          <cell r="D949">
            <v>1250000</v>
          </cell>
          <cell r="E949">
            <v>37082480</v>
          </cell>
          <cell r="F949" t="str">
            <v>ANDREA  LEONIZA IPIALES SOLARTE</v>
          </cell>
        </row>
        <row r="950">
          <cell r="A950">
            <v>45625</v>
          </cell>
          <cell r="B950">
            <v>2024002741</v>
          </cell>
          <cell r="C950" t="str">
            <v>724-2024</v>
          </cell>
          <cell r="D950">
            <v>3000000</v>
          </cell>
          <cell r="E950">
            <v>1014857280</v>
          </cell>
          <cell r="F950" t="str">
            <v>LAURA VALENTINA PASCUAZA YUCUMA</v>
          </cell>
        </row>
        <row r="951">
          <cell r="A951">
            <v>45625</v>
          </cell>
          <cell r="B951">
            <v>2024002742</v>
          </cell>
          <cell r="C951" t="str">
            <v>670-2024</v>
          </cell>
          <cell r="D951">
            <v>6000000</v>
          </cell>
          <cell r="E951">
            <v>1085337232</v>
          </cell>
          <cell r="F951" t="str">
            <v>JHON SEBASTIAN NARVAEZ DEJOY</v>
          </cell>
        </row>
        <row r="952">
          <cell r="A952">
            <v>45625</v>
          </cell>
          <cell r="B952">
            <v>2024002743</v>
          </cell>
          <cell r="C952" t="str">
            <v>756-2024</v>
          </cell>
          <cell r="D952">
            <v>3000000</v>
          </cell>
          <cell r="E952">
            <v>1193271854</v>
          </cell>
          <cell r="F952" t="str">
            <v>JUANITA MAYLIN VELASQUEZ REVELO</v>
          </cell>
        </row>
        <row r="953">
          <cell r="A953">
            <v>45625</v>
          </cell>
          <cell r="B953">
            <v>2024002744</v>
          </cell>
          <cell r="C953" t="str">
            <v>746-2024</v>
          </cell>
          <cell r="D953">
            <v>3000000</v>
          </cell>
          <cell r="E953">
            <v>1085300095</v>
          </cell>
          <cell r="F953" t="str">
            <v>AIDE CAROLINA RIASCOS ECHEVERRY</v>
          </cell>
        </row>
        <row r="954">
          <cell r="A954">
            <v>45625</v>
          </cell>
          <cell r="B954">
            <v>2024002745</v>
          </cell>
          <cell r="C954" t="str">
            <v>678-2024</v>
          </cell>
          <cell r="D954">
            <v>7540000</v>
          </cell>
          <cell r="E954">
            <v>1085255870</v>
          </cell>
          <cell r="F954" t="str">
            <v>ANGELA LORENA LOPEZ  VALLEJO</v>
          </cell>
        </row>
        <row r="955">
          <cell r="A955">
            <v>45625</v>
          </cell>
          <cell r="B955">
            <v>2024002746</v>
          </cell>
          <cell r="C955" t="str">
            <v>924-2024</v>
          </cell>
          <cell r="D955">
            <v>1250000</v>
          </cell>
          <cell r="E955">
            <v>1085281545</v>
          </cell>
          <cell r="F955" t="str">
            <v>KARINA ELIZABETH MADROÐERO DELGADO</v>
          </cell>
        </row>
        <row r="956">
          <cell r="A956">
            <v>45625</v>
          </cell>
          <cell r="B956">
            <v>2024002747</v>
          </cell>
          <cell r="C956" t="str">
            <v>841-2024</v>
          </cell>
          <cell r="D956">
            <v>4825000</v>
          </cell>
          <cell r="E956">
            <v>1085291221</v>
          </cell>
          <cell r="F956" t="str">
            <v>ELIZABETH ALEJANDRA TOBAR MORAN</v>
          </cell>
        </row>
        <row r="957">
          <cell r="A957">
            <v>45625</v>
          </cell>
          <cell r="B957">
            <v>2024002748</v>
          </cell>
          <cell r="C957" t="str">
            <v>684-2024</v>
          </cell>
          <cell r="D957">
            <v>4825000</v>
          </cell>
          <cell r="E957">
            <v>30733517</v>
          </cell>
          <cell r="F957" t="str">
            <v>CARMEN  LILIANA ARCINIEGAS LÒPEZ</v>
          </cell>
        </row>
        <row r="958">
          <cell r="A958">
            <v>45625</v>
          </cell>
          <cell r="B958">
            <v>2024002749</v>
          </cell>
          <cell r="C958" t="str">
            <v>810-2024</v>
          </cell>
          <cell r="D958">
            <v>3000000</v>
          </cell>
          <cell r="E958">
            <v>1004410201</v>
          </cell>
          <cell r="F958" t="str">
            <v>JAIRO  ALBERTO MAIGUAL MIRAMAG</v>
          </cell>
        </row>
        <row r="959">
          <cell r="A959">
            <v>45625</v>
          </cell>
          <cell r="B959">
            <v>2024002750</v>
          </cell>
          <cell r="C959" t="str">
            <v>827-2024</v>
          </cell>
          <cell r="D959">
            <v>2500000</v>
          </cell>
          <cell r="E959">
            <v>1081273343</v>
          </cell>
          <cell r="F959" t="str">
            <v>MARIA FERNANDA VASQUEZ ARGOTI</v>
          </cell>
        </row>
        <row r="960">
          <cell r="A960">
            <v>45629</v>
          </cell>
          <cell r="B960">
            <v>2024002757</v>
          </cell>
          <cell r="C960" t="str">
            <v>649-2024</v>
          </cell>
          <cell r="D960">
            <v>7540000</v>
          </cell>
          <cell r="E960">
            <v>12961407</v>
          </cell>
          <cell r="F960" t="str">
            <v>FRANCO JESUS RODRIGUEZ ARAUJO</v>
          </cell>
        </row>
        <row r="961">
          <cell r="A961">
            <v>45629</v>
          </cell>
          <cell r="B961">
            <v>2024002758</v>
          </cell>
          <cell r="C961" t="str">
            <v>797-2024</v>
          </cell>
          <cell r="D961">
            <v>3000000</v>
          </cell>
          <cell r="E961">
            <v>1085250095</v>
          </cell>
          <cell r="F961" t="str">
            <v>LIDIA JIMENA RODRIGUEZ LOZA</v>
          </cell>
        </row>
        <row r="962">
          <cell r="A962">
            <v>45629</v>
          </cell>
          <cell r="B962">
            <v>2024002759</v>
          </cell>
          <cell r="C962" t="str">
            <v>691-2024</v>
          </cell>
          <cell r="D962">
            <v>4750000</v>
          </cell>
          <cell r="E962">
            <v>1085318201</v>
          </cell>
          <cell r="F962" t="str">
            <v>JAZMIN ELIZABETH ARCE CALDERON</v>
          </cell>
        </row>
        <row r="963">
          <cell r="A963">
            <v>45629</v>
          </cell>
          <cell r="B963">
            <v>2024002760</v>
          </cell>
          <cell r="C963" t="str">
            <v>960-2024</v>
          </cell>
          <cell r="D963">
            <v>800000</v>
          </cell>
          <cell r="E963">
            <v>27088197</v>
          </cell>
          <cell r="F963" t="str">
            <v xml:space="preserve">MANOSALVA UNIGARRO PAULA ANDREA   </v>
          </cell>
        </row>
        <row r="964">
          <cell r="A964">
            <v>45629</v>
          </cell>
          <cell r="B964">
            <v>2024002761</v>
          </cell>
          <cell r="C964" t="str">
            <v>635-2024</v>
          </cell>
          <cell r="D964">
            <v>4825000</v>
          </cell>
          <cell r="E964">
            <v>59314451</v>
          </cell>
          <cell r="F964" t="str">
            <v>ERIKA JOHANNA OBANDO SANTACRUZ</v>
          </cell>
        </row>
        <row r="965">
          <cell r="A965">
            <v>45629</v>
          </cell>
          <cell r="B965">
            <v>2024002777</v>
          </cell>
          <cell r="C965" t="str">
            <v>751-2024</v>
          </cell>
          <cell r="D965">
            <v>3000000</v>
          </cell>
          <cell r="E965">
            <v>87070661</v>
          </cell>
          <cell r="F965" t="str">
            <v>EDER SHINEIDER TUTISTAR TUTISTAR</v>
          </cell>
        </row>
        <row r="966">
          <cell r="A966">
            <v>45629</v>
          </cell>
          <cell r="B966">
            <v>2024002778</v>
          </cell>
          <cell r="C966" t="str">
            <v>859-2024</v>
          </cell>
          <cell r="D966">
            <v>3000000</v>
          </cell>
          <cell r="E966">
            <v>1085338575</v>
          </cell>
          <cell r="F966" t="str">
            <v>RAFAEL ARLEY ROSERO PINZA</v>
          </cell>
        </row>
        <row r="967">
          <cell r="A967">
            <v>45629</v>
          </cell>
          <cell r="B967">
            <v>2024002779</v>
          </cell>
          <cell r="C967" t="str">
            <v>893-2024</v>
          </cell>
          <cell r="D967">
            <v>2500000</v>
          </cell>
          <cell r="E967">
            <v>30737741</v>
          </cell>
          <cell r="F967" t="str">
            <v>CLEOTILDE FLOR ALBA PIANDOY CUSIS</v>
          </cell>
        </row>
        <row r="968">
          <cell r="A968">
            <v>45629</v>
          </cell>
          <cell r="B968">
            <v>2024002780</v>
          </cell>
          <cell r="C968" t="str">
            <v>762-2024</v>
          </cell>
          <cell r="D968">
            <v>3000000</v>
          </cell>
          <cell r="E968">
            <v>1085323101</v>
          </cell>
          <cell r="F968" t="str">
            <v>ANGIE VIVIANA AULLON VASQUEZ</v>
          </cell>
        </row>
        <row r="969">
          <cell r="A969">
            <v>45629</v>
          </cell>
          <cell r="B969">
            <v>2024002781</v>
          </cell>
          <cell r="C969" t="str">
            <v>636-2024</v>
          </cell>
          <cell r="D969">
            <v>4750000</v>
          </cell>
          <cell r="E969">
            <v>1085318684</v>
          </cell>
          <cell r="F969" t="str">
            <v>JENIFER  AREVALO CRIOLLO</v>
          </cell>
        </row>
        <row r="970">
          <cell r="A970">
            <v>45629</v>
          </cell>
          <cell r="B970">
            <v>2024002782</v>
          </cell>
          <cell r="C970" t="str">
            <v>900-2024</v>
          </cell>
          <cell r="D970">
            <v>3000000</v>
          </cell>
          <cell r="E970">
            <v>5930737</v>
          </cell>
          <cell r="F970" t="str">
            <v>KARELIS NATALY ZHENG MONSALVE</v>
          </cell>
        </row>
        <row r="971">
          <cell r="A971">
            <v>45629</v>
          </cell>
          <cell r="B971">
            <v>2024002783</v>
          </cell>
          <cell r="C971" t="str">
            <v>871-2024</v>
          </cell>
          <cell r="D971">
            <v>3000000</v>
          </cell>
          <cell r="E971">
            <v>37083086</v>
          </cell>
          <cell r="F971" t="str">
            <v>KAROL IVONNE BURBANO ROSERO</v>
          </cell>
        </row>
        <row r="972">
          <cell r="A972">
            <v>45629</v>
          </cell>
          <cell r="B972">
            <v>2024002784</v>
          </cell>
          <cell r="C972" t="str">
            <v>866-2024</v>
          </cell>
          <cell r="D972">
            <v>3000000</v>
          </cell>
          <cell r="E972">
            <v>1084224968</v>
          </cell>
          <cell r="F972" t="str">
            <v>VIVIAN ROXANA JURADO BANDA</v>
          </cell>
        </row>
        <row r="973">
          <cell r="A973">
            <v>45629</v>
          </cell>
          <cell r="B973">
            <v>2024002785</v>
          </cell>
          <cell r="C973" t="str">
            <v>764-2024</v>
          </cell>
          <cell r="D973">
            <v>3000000</v>
          </cell>
          <cell r="E973">
            <v>1004234290</v>
          </cell>
          <cell r="F973" t="str">
            <v>LAURA  SOFIA ROSERO DAVID</v>
          </cell>
        </row>
        <row r="974">
          <cell r="A974">
            <v>45629</v>
          </cell>
          <cell r="B974">
            <v>2024002786</v>
          </cell>
          <cell r="C974" t="str">
            <v>928-2024</v>
          </cell>
          <cell r="D974">
            <v>3770000</v>
          </cell>
          <cell r="E974">
            <v>1233193882</v>
          </cell>
          <cell r="F974" t="str">
            <v>YULI NATHALIA CALI RODRIGUEZ</v>
          </cell>
        </row>
        <row r="975">
          <cell r="A975">
            <v>45629</v>
          </cell>
          <cell r="B975">
            <v>2024002787</v>
          </cell>
          <cell r="C975" t="str">
            <v>849-2024</v>
          </cell>
          <cell r="D975">
            <v>3000000</v>
          </cell>
          <cell r="E975">
            <v>1085277516</v>
          </cell>
          <cell r="F975" t="str">
            <v>ANA MARCELA LOPEZ RUALES</v>
          </cell>
        </row>
        <row r="976">
          <cell r="A976">
            <v>45629</v>
          </cell>
          <cell r="B976">
            <v>2024002788</v>
          </cell>
          <cell r="C976" t="str">
            <v>742-2024</v>
          </cell>
          <cell r="D976">
            <v>3000000</v>
          </cell>
          <cell r="E976">
            <v>13070330</v>
          </cell>
          <cell r="F976" t="str">
            <v>ELBER ALFREDO CAMPAÑA IMBAQUIN</v>
          </cell>
        </row>
        <row r="977">
          <cell r="A977">
            <v>45629</v>
          </cell>
          <cell r="B977">
            <v>2024002789</v>
          </cell>
          <cell r="C977" t="str">
            <v>650-2024</v>
          </cell>
          <cell r="D977">
            <v>6000000</v>
          </cell>
          <cell r="E977">
            <v>97470681</v>
          </cell>
          <cell r="F977" t="str">
            <v>FERNANDO TEOFILO ROSERO PATIÑO</v>
          </cell>
        </row>
        <row r="978">
          <cell r="A978">
            <v>45629</v>
          </cell>
          <cell r="B978">
            <v>2024002790</v>
          </cell>
          <cell r="C978" t="str">
            <v>862-2024</v>
          </cell>
          <cell r="D978">
            <v>6000000</v>
          </cell>
          <cell r="E978">
            <v>1085272491</v>
          </cell>
          <cell r="F978" t="str">
            <v>JESSICA STEFANNY FRANCO ERASO</v>
          </cell>
        </row>
        <row r="979">
          <cell r="A979">
            <v>45630</v>
          </cell>
          <cell r="B979">
            <v>2024002795</v>
          </cell>
          <cell r="C979" t="str">
            <v>752-2024</v>
          </cell>
          <cell r="D979">
            <v>4825000</v>
          </cell>
          <cell r="E979">
            <v>59310622</v>
          </cell>
          <cell r="F979" t="str">
            <v>LIDA CRISTINA GUERRERO MIRAMAG</v>
          </cell>
        </row>
        <row r="980">
          <cell r="A980">
            <v>45630</v>
          </cell>
          <cell r="B980">
            <v>2024002796</v>
          </cell>
          <cell r="C980" t="str">
            <v>677-2024</v>
          </cell>
          <cell r="D980">
            <v>4750000</v>
          </cell>
          <cell r="E980">
            <v>1085325342</v>
          </cell>
          <cell r="F980" t="str">
            <v>JORGE LUIS CARVAJAL GUACHAVEZ</v>
          </cell>
        </row>
        <row r="981">
          <cell r="A981">
            <v>45630</v>
          </cell>
          <cell r="B981">
            <v>2024002797</v>
          </cell>
          <cell r="C981" t="str">
            <v>858-2024</v>
          </cell>
          <cell r="D981">
            <v>4750000</v>
          </cell>
          <cell r="E981">
            <v>36950073</v>
          </cell>
          <cell r="F981" t="str">
            <v>INGRID RAQUEL MONCAYO  NARVAEZ</v>
          </cell>
        </row>
        <row r="982">
          <cell r="A982">
            <v>45630</v>
          </cell>
          <cell r="B982">
            <v>2024002798</v>
          </cell>
          <cell r="C982" t="str">
            <v>930-2024</v>
          </cell>
          <cell r="D982">
            <v>1500000</v>
          </cell>
          <cell r="E982">
            <v>1004235479</v>
          </cell>
          <cell r="F982" t="str">
            <v>TANIA KARINA CUERO CASANOVA</v>
          </cell>
        </row>
        <row r="983">
          <cell r="A983">
            <v>45630</v>
          </cell>
          <cell r="B983">
            <v>2024002799</v>
          </cell>
          <cell r="C983" t="str">
            <v>867-2024</v>
          </cell>
          <cell r="D983">
            <v>3000000</v>
          </cell>
          <cell r="E983">
            <v>1080043348</v>
          </cell>
          <cell r="F983" t="str">
            <v>BRIGITH VANESSA QUENGUAN CALDERON</v>
          </cell>
        </row>
        <row r="984">
          <cell r="A984">
            <v>45630</v>
          </cell>
          <cell r="B984">
            <v>2024002800</v>
          </cell>
          <cell r="C984" t="str">
            <v>791-2024</v>
          </cell>
          <cell r="D984">
            <v>3000000</v>
          </cell>
          <cell r="E984">
            <v>1193224810</v>
          </cell>
          <cell r="F984" t="str">
            <v>EVELYN  FERNANDA ACOSTA CHICAIZA</v>
          </cell>
        </row>
        <row r="985">
          <cell r="A985">
            <v>45630</v>
          </cell>
          <cell r="B985">
            <v>2024002801</v>
          </cell>
          <cell r="C985" t="str">
            <v>781-2024</v>
          </cell>
          <cell r="D985">
            <v>3000000</v>
          </cell>
          <cell r="E985">
            <v>1085302942</v>
          </cell>
          <cell r="F985" t="str">
            <v>MARIA CAMILA PAREDEZ TIMANA</v>
          </cell>
        </row>
        <row r="986">
          <cell r="A986">
            <v>45630</v>
          </cell>
          <cell r="B986">
            <v>2024002802</v>
          </cell>
          <cell r="C986" t="str">
            <v>929-2024</v>
          </cell>
          <cell r="D986">
            <v>1500000</v>
          </cell>
          <cell r="E986">
            <v>1004216993</v>
          </cell>
          <cell r="F986" t="str">
            <v>ANDREA  NATHALY ALAVA BOLAÑOS</v>
          </cell>
        </row>
        <row r="987">
          <cell r="A987">
            <v>45630</v>
          </cell>
          <cell r="B987">
            <v>2024002803</v>
          </cell>
          <cell r="C987" t="str">
            <v>925-2024</v>
          </cell>
          <cell r="D987">
            <v>3000000</v>
          </cell>
          <cell r="E987">
            <v>1004131723</v>
          </cell>
          <cell r="F987" t="str">
            <v>ALEJANDRA LUCIA BENAVIDES ZAMORA</v>
          </cell>
        </row>
        <row r="988">
          <cell r="A988">
            <v>45630</v>
          </cell>
          <cell r="B988">
            <v>2024002804</v>
          </cell>
          <cell r="C988" t="str">
            <v>942-2024</v>
          </cell>
          <cell r="D988">
            <v>7540000</v>
          </cell>
          <cell r="E988">
            <v>1085312978</v>
          </cell>
          <cell r="F988" t="str">
            <v>DANIEL  SALAZAR LOPEZ</v>
          </cell>
        </row>
        <row r="989">
          <cell r="A989">
            <v>45630</v>
          </cell>
          <cell r="B989">
            <v>2024002805</v>
          </cell>
          <cell r="C989" t="str">
            <v>883-2024</v>
          </cell>
          <cell r="D989">
            <v>2500000</v>
          </cell>
          <cell r="E989">
            <v>13072447</v>
          </cell>
          <cell r="F989" t="str">
            <v>DANNY ALEXANDER ORTIZ MUÑOZ</v>
          </cell>
        </row>
        <row r="990">
          <cell r="A990">
            <v>45630</v>
          </cell>
          <cell r="B990">
            <v>2024002806</v>
          </cell>
          <cell r="C990" t="str">
            <v>855-2024</v>
          </cell>
          <cell r="D990">
            <v>2500000</v>
          </cell>
          <cell r="E990">
            <v>1085338135</v>
          </cell>
          <cell r="F990" t="str">
            <v>NATHALIE CAROLINA ESTRADA SE LA CRUZ</v>
          </cell>
        </row>
        <row r="991">
          <cell r="A991">
            <v>45630</v>
          </cell>
          <cell r="B991">
            <v>2024002807</v>
          </cell>
          <cell r="C991" t="str">
            <v>707-2024</v>
          </cell>
          <cell r="D991">
            <v>4750000</v>
          </cell>
          <cell r="E991">
            <v>36953206</v>
          </cell>
          <cell r="F991" t="str">
            <v>NATALIA ANDREA LATORRE RUANO</v>
          </cell>
        </row>
        <row r="992">
          <cell r="A992">
            <v>45630</v>
          </cell>
          <cell r="B992">
            <v>2024002810</v>
          </cell>
          <cell r="C992" t="str">
            <v>738-2024</v>
          </cell>
          <cell r="D992">
            <v>6000000</v>
          </cell>
          <cell r="E992">
            <v>1085275879</v>
          </cell>
          <cell r="F992" t="str">
            <v>DANIELA FERNANDA ERASO VALENCIA</v>
          </cell>
        </row>
        <row r="993">
          <cell r="A993">
            <v>45631</v>
          </cell>
          <cell r="B993">
            <v>2024002815</v>
          </cell>
          <cell r="C993" t="str">
            <v>897-2024</v>
          </cell>
          <cell r="D993">
            <v>4750000</v>
          </cell>
          <cell r="E993">
            <v>1018492767</v>
          </cell>
          <cell r="F993" t="str">
            <v>LAURA CATALINA MUÑOZ LUNA</v>
          </cell>
        </row>
        <row r="994">
          <cell r="A994">
            <v>45631</v>
          </cell>
          <cell r="B994">
            <v>2024002821</v>
          </cell>
          <cell r="C994" t="str">
            <v>829-2024</v>
          </cell>
          <cell r="D994">
            <v>3000000</v>
          </cell>
          <cell r="E994">
            <v>30743783</v>
          </cell>
          <cell r="F994" t="str">
            <v>JAQUELINE  MELO MOSQUERA</v>
          </cell>
        </row>
        <row r="995">
          <cell r="A995">
            <v>45631</v>
          </cell>
          <cell r="B995">
            <v>2024002822</v>
          </cell>
          <cell r="C995" t="str">
            <v>887-2024</v>
          </cell>
          <cell r="D995">
            <v>7540000</v>
          </cell>
          <cell r="E995">
            <v>87940284</v>
          </cell>
          <cell r="F995" t="str">
            <v>JOHNNY ALCIBIADES SOTOMAYOR PRECIADO</v>
          </cell>
        </row>
        <row r="996">
          <cell r="A996">
            <v>45631</v>
          </cell>
          <cell r="B996">
            <v>2024002823</v>
          </cell>
          <cell r="C996" t="str">
            <v>695-2024</v>
          </cell>
          <cell r="D996">
            <v>3000000</v>
          </cell>
          <cell r="E996">
            <v>1085260568</v>
          </cell>
          <cell r="F996" t="str">
            <v>SONIA PATRICIA ESPANA TAPIA</v>
          </cell>
        </row>
        <row r="997">
          <cell r="A997">
            <v>45631</v>
          </cell>
          <cell r="B997">
            <v>2024002824</v>
          </cell>
          <cell r="C997" t="str">
            <v>1005-2024</v>
          </cell>
          <cell r="D997">
            <v>7540000</v>
          </cell>
          <cell r="E997">
            <v>1085300619</v>
          </cell>
          <cell r="F997" t="str">
            <v>BUITRAGO ALZATE JERSON ALBEIRO</v>
          </cell>
        </row>
        <row r="998">
          <cell r="A998">
            <v>45631</v>
          </cell>
          <cell r="B998">
            <v>2024002825</v>
          </cell>
          <cell r="C998" t="str">
            <v>815-2024</v>
          </cell>
          <cell r="D998">
            <v>3000000</v>
          </cell>
          <cell r="E998">
            <v>1193218691</v>
          </cell>
          <cell r="F998" t="str">
            <v>BRENDA DAYANA TABLA PULISTAR</v>
          </cell>
        </row>
        <row r="999">
          <cell r="A999">
            <v>45631</v>
          </cell>
          <cell r="B999">
            <v>2024002826</v>
          </cell>
          <cell r="C999" t="str">
            <v>882-2024</v>
          </cell>
          <cell r="D999">
            <v>3000000</v>
          </cell>
          <cell r="E999">
            <v>1085310350</v>
          </cell>
          <cell r="F999" t="str">
            <v>DANIELA  DELGADO CHAMORRO</v>
          </cell>
        </row>
        <row r="1000">
          <cell r="A1000">
            <v>45631</v>
          </cell>
          <cell r="B1000">
            <v>2024002827</v>
          </cell>
          <cell r="C1000" t="str">
            <v>927-2024</v>
          </cell>
          <cell r="D1000">
            <v>2412500</v>
          </cell>
          <cell r="E1000">
            <v>1004508471</v>
          </cell>
          <cell r="F1000" t="str">
            <v>ISABELA CATALINA CALDERON MERA</v>
          </cell>
        </row>
        <row r="1001">
          <cell r="A1001">
            <v>45631</v>
          </cell>
          <cell r="B1001">
            <v>2024002828</v>
          </cell>
          <cell r="C1001" t="str">
            <v>902-2024</v>
          </cell>
          <cell r="D1001">
            <v>4750000</v>
          </cell>
          <cell r="E1001">
            <v>1086332188</v>
          </cell>
          <cell r="F1001" t="str">
            <v>CARLOS  ALBERTO ZAMBRANO VARGAS</v>
          </cell>
        </row>
        <row r="1002">
          <cell r="A1002">
            <v>45631</v>
          </cell>
          <cell r="B1002">
            <v>2024002831</v>
          </cell>
          <cell r="C1002" t="str">
            <v>634-2024</v>
          </cell>
          <cell r="D1002">
            <v>7540000</v>
          </cell>
          <cell r="E1002">
            <v>87065647</v>
          </cell>
          <cell r="F1002" t="str">
            <v>JHON JAIME LOPEZ GUERRERO</v>
          </cell>
        </row>
        <row r="1003">
          <cell r="A1003">
            <v>45631</v>
          </cell>
          <cell r="B1003">
            <v>2024002832</v>
          </cell>
          <cell r="C1003" t="str">
            <v>727-2024</v>
          </cell>
          <cell r="D1003">
            <v>3000000</v>
          </cell>
          <cell r="E1003">
            <v>1089243630</v>
          </cell>
          <cell r="F1003" t="str">
            <v>YENIFER NAYIBE MENESES TOBAR</v>
          </cell>
        </row>
        <row r="1004">
          <cell r="A1004">
            <v>45631</v>
          </cell>
          <cell r="B1004">
            <v>2024002833</v>
          </cell>
          <cell r="C1004" t="str">
            <v>916-2024</v>
          </cell>
          <cell r="D1004">
            <v>3000000</v>
          </cell>
          <cell r="E1004">
            <v>1085322676</v>
          </cell>
          <cell r="F1004" t="str">
            <v>JULIANA ALEJANDRA BASTIDAS JOJOA</v>
          </cell>
        </row>
        <row r="1005">
          <cell r="A1005">
            <v>45631</v>
          </cell>
          <cell r="B1005">
            <v>2024002834</v>
          </cell>
          <cell r="C1005" t="str">
            <v>853-2024</v>
          </cell>
          <cell r="D1005">
            <v>7540000</v>
          </cell>
          <cell r="E1005">
            <v>1085296958</v>
          </cell>
          <cell r="F1005" t="str">
            <v>MARIO ALEXANDER MENA RODRIGUEZ</v>
          </cell>
        </row>
        <row r="1006">
          <cell r="A1006">
            <v>45632</v>
          </cell>
          <cell r="B1006">
            <v>2024002915</v>
          </cell>
          <cell r="C1006" t="str">
            <v>759-2024</v>
          </cell>
          <cell r="D1006">
            <v>3000000</v>
          </cell>
          <cell r="E1006">
            <v>36757522</v>
          </cell>
          <cell r="F1006" t="str">
            <v>VIKY PATRICIA ASCUNTAR CRIOLLO</v>
          </cell>
        </row>
        <row r="1007">
          <cell r="A1007">
            <v>45632</v>
          </cell>
          <cell r="B1007">
            <v>2024002916</v>
          </cell>
          <cell r="C1007" t="str">
            <v>850-2024</v>
          </cell>
          <cell r="D1007">
            <v>3000000</v>
          </cell>
          <cell r="E1007">
            <v>1085325718</v>
          </cell>
          <cell r="F1007" t="str">
            <v>JUAN FERNANDO ZARAMA SILVA</v>
          </cell>
        </row>
        <row r="1008">
          <cell r="A1008">
            <v>45632</v>
          </cell>
          <cell r="B1008">
            <v>2024002917</v>
          </cell>
          <cell r="C1008" t="str">
            <v>643-2024</v>
          </cell>
          <cell r="D1008">
            <v>4825000</v>
          </cell>
          <cell r="E1008">
            <v>27087851</v>
          </cell>
          <cell r="F1008" t="str">
            <v>ADRIANA YORLADY ARMERO BURBANO</v>
          </cell>
        </row>
        <row r="1009">
          <cell r="A1009">
            <v>45632</v>
          </cell>
          <cell r="B1009">
            <v>2024002919</v>
          </cell>
          <cell r="C1009" t="str">
            <v>693-2024</v>
          </cell>
          <cell r="D1009">
            <v>3000000</v>
          </cell>
          <cell r="E1009">
            <v>59828916</v>
          </cell>
          <cell r="F1009" t="str">
            <v xml:space="preserve">ROCIO DEL PILAR RIVERA </v>
          </cell>
        </row>
        <row r="1010">
          <cell r="A1010">
            <v>45632</v>
          </cell>
          <cell r="B1010">
            <v>2024002920</v>
          </cell>
          <cell r="C1010" t="str">
            <v>879-2024</v>
          </cell>
          <cell r="D1010">
            <v>7540000</v>
          </cell>
          <cell r="E1010">
            <v>79800150</v>
          </cell>
          <cell r="F1010" t="str">
            <v>NELSON FREDY ARCINIEGAS ORTIZ</v>
          </cell>
        </row>
        <row r="1011">
          <cell r="A1011">
            <v>45632</v>
          </cell>
          <cell r="B1011">
            <v>2024002921</v>
          </cell>
          <cell r="C1011" t="str">
            <v>1030-2024</v>
          </cell>
          <cell r="D1011">
            <v>2090400</v>
          </cell>
          <cell r="E1011">
            <v>52048780</v>
          </cell>
          <cell r="F1011" t="str">
            <v>MONICA  LOZANO BARBOSA</v>
          </cell>
        </row>
        <row r="1012">
          <cell r="A1012">
            <v>45632</v>
          </cell>
          <cell r="B1012">
            <v>2024002922</v>
          </cell>
          <cell r="C1012" t="str">
            <v>674-2024</v>
          </cell>
          <cell r="D1012">
            <v>7540000</v>
          </cell>
          <cell r="E1012">
            <v>7603662</v>
          </cell>
          <cell r="F1012" t="str">
            <v>FERNANDO ALBERTO ROMERO SOLANO</v>
          </cell>
        </row>
        <row r="1013">
          <cell r="A1013">
            <v>45632</v>
          </cell>
          <cell r="B1013">
            <v>2024002923</v>
          </cell>
          <cell r="C1013" t="str">
            <v>842-2024</v>
          </cell>
          <cell r="D1013">
            <v>4825000</v>
          </cell>
          <cell r="E1013">
            <v>59310145</v>
          </cell>
          <cell r="F1013" t="str">
            <v>EDITH ANGELICA LOPEZ VILLARREAL</v>
          </cell>
        </row>
        <row r="1014">
          <cell r="A1014">
            <v>45632</v>
          </cell>
          <cell r="B1014">
            <v>2024002924</v>
          </cell>
          <cell r="C1014" t="str">
            <v>746-2024</v>
          </cell>
          <cell r="D1014">
            <v>3000000</v>
          </cell>
          <cell r="E1014">
            <v>1085300095</v>
          </cell>
          <cell r="F1014" t="str">
            <v>AIDE CAROLINA RIASCOS ECHEVERRY</v>
          </cell>
        </row>
        <row r="1015">
          <cell r="A1015">
            <v>45632</v>
          </cell>
          <cell r="B1015">
            <v>2024002925</v>
          </cell>
          <cell r="C1015" t="str">
            <v>748-2024</v>
          </cell>
          <cell r="D1015">
            <v>3000000</v>
          </cell>
          <cell r="E1015">
            <v>37084285</v>
          </cell>
          <cell r="F1015" t="str">
            <v>JULIE ANDREA FREIRE MIER</v>
          </cell>
        </row>
        <row r="1016">
          <cell r="A1016">
            <v>45632</v>
          </cell>
          <cell r="B1016">
            <v>2024002926</v>
          </cell>
          <cell r="C1016" t="str">
            <v>761-2024</v>
          </cell>
          <cell r="D1016">
            <v>3000000</v>
          </cell>
          <cell r="E1016">
            <v>1233189234</v>
          </cell>
          <cell r="F1016" t="str">
            <v>YULLI KAROLINA CASTILLO PAZ</v>
          </cell>
        </row>
        <row r="1017">
          <cell r="A1017">
            <v>45632</v>
          </cell>
          <cell r="B1017">
            <v>2024002927</v>
          </cell>
          <cell r="C1017" t="str">
            <v>736-2024</v>
          </cell>
          <cell r="D1017">
            <v>3000000</v>
          </cell>
          <cell r="E1017">
            <v>1085255972</v>
          </cell>
          <cell r="F1017" t="str">
            <v>ANDREA PAOLA MONTES PANTOJA</v>
          </cell>
        </row>
        <row r="1018">
          <cell r="A1018">
            <v>45632</v>
          </cell>
          <cell r="B1018">
            <v>2024002928</v>
          </cell>
          <cell r="C1018" t="str">
            <v>852-2024</v>
          </cell>
          <cell r="D1018">
            <v>3000000</v>
          </cell>
          <cell r="E1018">
            <v>1004135064</v>
          </cell>
          <cell r="F1018" t="str">
            <v>JESSICA FERNANDA LAGOS DAVID</v>
          </cell>
        </row>
        <row r="1019">
          <cell r="A1019">
            <v>45632</v>
          </cell>
          <cell r="B1019">
            <v>2024002929</v>
          </cell>
          <cell r="C1019" t="str">
            <v>847-2024</v>
          </cell>
          <cell r="D1019">
            <v>3000000</v>
          </cell>
          <cell r="E1019">
            <v>1080040858</v>
          </cell>
          <cell r="F1019" t="str">
            <v>YEIMY ANABELY MONCAYO ARTEAGA</v>
          </cell>
        </row>
        <row r="1020">
          <cell r="A1020">
            <v>45632</v>
          </cell>
          <cell r="B1020">
            <v>2024002930</v>
          </cell>
          <cell r="C1020" t="str">
            <v>846-2024</v>
          </cell>
          <cell r="D1020">
            <v>3000000</v>
          </cell>
          <cell r="E1020">
            <v>1010082397</v>
          </cell>
          <cell r="F1020" t="str">
            <v>JAQUELINE CAMILA GENOY VILLOTA</v>
          </cell>
        </row>
        <row r="1021">
          <cell r="A1021">
            <v>45632</v>
          </cell>
          <cell r="B1021">
            <v>2024002931</v>
          </cell>
          <cell r="C1021" t="str">
            <v>843-2024</v>
          </cell>
          <cell r="D1021">
            <v>3000000</v>
          </cell>
          <cell r="E1021">
            <v>59813323</v>
          </cell>
          <cell r="F1021" t="str">
            <v>GARCIA JOJOA EDITH CRISTINA</v>
          </cell>
        </row>
        <row r="1022">
          <cell r="A1022">
            <v>45632</v>
          </cell>
          <cell r="B1022">
            <v>2024002932</v>
          </cell>
          <cell r="C1022" t="str">
            <v>877-2024</v>
          </cell>
          <cell r="D1022">
            <v>4825000</v>
          </cell>
          <cell r="E1022">
            <v>1085332406</v>
          </cell>
          <cell r="F1022" t="str">
            <v>MERCY LORENA SACANAMBUY LOPEZ</v>
          </cell>
        </row>
        <row r="1023">
          <cell r="A1023">
            <v>45632</v>
          </cell>
          <cell r="B1023">
            <v>2024002933</v>
          </cell>
          <cell r="C1023" t="str">
            <v>836-2024</v>
          </cell>
          <cell r="D1023">
            <v>2500000</v>
          </cell>
          <cell r="E1023">
            <v>12750863</v>
          </cell>
          <cell r="F1023" t="str">
            <v>MARIO ANDRES ROSAS  ENRIQUEZ</v>
          </cell>
        </row>
        <row r="1024">
          <cell r="A1024">
            <v>45632</v>
          </cell>
          <cell r="B1024">
            <v>2024002935</v>
          </cell>
          <cell r="C1024" t="str">
            <v>638-2024</v>
          </cell>
          <cell r="D1024">
            <v>4825000</v>
          </cell>
          <cell r="E1024">
            <v>30732782</v>
          </cell>
          <cell r="F1024" t="str">
            <v>ANA  MILENA ROSERO SANTANDER</v>
          </cell>
        </row>
        <row r="1025">
          <cell r="A1025">
            <v>45632</v>
          </cell>
          <cell r="B1025">
            <v>2024002936</v>
          </cell>
          <cell r="C1025" t="str">
            <v>731-2024</v>
          </cell>
          <cell r="D1025">
            <v>3000000</v>
          </cell>
          <cell r="E1025">
            <v>1085261053</v>
          </cell>
          <cell r="F1025" t="str">
            <v>ISABEL CRISTINA SANTACRUZ MUÑOZ</v>
          </cell>
        </row>
        <row r="1026">
          <cell r="A1026">
            <v>45632</v>
          </cell>
          <cell r="B1026">
            <v>2024002938</v>
          </cell>
          <cell r="C1026" t="str">
            <v>809-2024</v>
          </cell>
          <cell r="D1026">
            <v>3000000</v>
          </cell>
          <cell r="E1026">
            <v>1085288636</v>
          </cell>
          <cell r="F1026" t="str">
            <v>DIANA SOFIA AYALA DIAZ</v>
          </cell>
        </row>
        <row r="1027">
          <cell r="A1027">
            <v>45632</v>
          </cell>
          <cell r="B1027">
            <v>2024002939</v>
          </cell>
          <cell r="C1027" t="str">
            <v>990-2024</v>
          </cell>
          <cell r="D1027">
            <v>4825000</v>
          </cell>
          <cell r="E1027">
            <v>1086755334</v>
          </cell>
          <cell r="F1027" t="str">
            <v>JAVIER DARIO PANTOJA ROSERO</v>
          </cell>
        </row>
        <row r="1028">
          <cell r="A1028">
            <v>45632</v>
          </cell>
          <cell r="B1028">
            <v>2024002940</v>
          </cell>
          <cell r="C1028" t="str">
            <v>790-2024</v>
          </cell>
          <cell r="D1028">
            <v>2500000</v>
          </cell>
          <cell r="E1028">
            <v>36759281</v>
          </cell>
          <cell r="F1028" t="str">
            <v>VERONICA  HURTADO PASCUAZA</v>
          </cell>
        </row>
        <row r="1029">
          <cell r="A1029">
            <v>45632</v>
          </cell>
          <cell r="B1029">
            <v>2024002941</v>
          </cell>
          <cell r="C1029" t="str">
            <v>780-2024</v>
          </cell>
          <cell r="D1029">
            <v>4825000</v>
          </cell>
          <cell r="E1029">
            <v>98260088</v>
          </cell>
          <cell r="F1029" t="str">
            <v>HENRY HERNAN BARCO RAMOS</v>
          </cell>
        </row>
        <row r="1030">
          <cell r="A1030">
            <v>45632</v>
          </cell>
          <cell r="B1030">
            <v>2024002942</v>
          </cell>
          <cell r="C1030" t="str">
            <v>669-2024</v>
          </cell>
          <cell r="D1030">
            <v>6000000</v>
          </cell>
          <cell r="E1030">
            <v>1085253062</v>
          </cell>
          <cell r="F1030" t="str">
            <v>LILIANA MAYER BOTINA CRIOLLO</v>
          </cell>
        </row>
        <row r="1031">
          <cell r="A1031">
            <v>45632</v>
          </cell>
          <cell r="B1031">
            <v>2024002943</v>
          </cell>
          <cell r="C1031" t="str">
            <v>756-2024</v>
          </cell>
          <cell r="D1031">
            <v>3000000</v>
          </cell>
          <cell r="E1031">
            <v>1193271854</v>
          </cell>
          <cell r="F1031" t="str">
            <v>JUANITA MAYLIN VELASQUEZ REVELO</v>
          </cell>
        </row>
        <row r="1032">
          <cell r="A1032">
            <v>45632</v>
          </cell>
          <cell r="B1032">
            <v>2024002944</v>
          </cell>
          <cell r="C1032" t="str">
            <v>724-2024</v>
          </cell>
          <cell r="D1032">
            <v>3000000</v>
          </cell>
          <cell r="E1032">
            <v>1014857280</v>
          </cell>
          <cell r="F1032" t="str">
            <v>LAURA VALENTINA PASCUAZA YUCUMA</v>
          </cell>
        </row>
        <row r="1033">
          <cell r="A1033">
            <v>45632</v>
          </cell>
          <cell r="B1033">
            <v>2024002945</v>
          </cell>
          <cell r="C1033" t="str">
            <v>725-2024</v>
          </cell>
          <cell r="D1033">
            <v>3000000</v>
          </cell>
          <cell r="E1033">
            <v>1081592303</v>
          </cell>
          <cell r="F1033" t="str">
            <v>MARILIN  ZAMBRANO OBANDO</v>
          </cell>
        </row>
        <row r="1034">
          <cell r="A1034">
            <v>45632</v>
          </cell>
          <cell r="B1034">
            <v>2024002946</v>
          </cell>
          <cell r="C1034" t="str">
            <v>754-2024</v>
          </cell>
          <cell r="D1034">
            <v>3000000</v>
          </cell>
          <cell r="E1034">
            <v>1085327701</v>
          </cell>
          <cell r="F1034" t="str">
            <v>MARIA JOSE LEITON ZUTTA</v>
          </cell>
        </row>
        <row r="1035">
          <cell r="A1035">
            <v>45632</v>
          </cell>
          <cell r="B1035">
            <v>2024002947</v>
          </cell>
          <cell r="C1035" t="str">
            <v>777-2024</v>
          </cell>
          <cell r="D1035">
            <v>3000000</v>
          </cell>
          <cell r="E1035">
            <v>1004592366</v>
          </cell>
          <cell r="F1035" t="str">
            <v>IBONNE ALEJANDRA SILVA ARAUJO</v>
          </cell>
        </row>
        <row r="1036">
          <cell r="A1036">
            <v>45635</v>
          </cell>
          <cell r="B1036">
            <v>2024002950</v>
          </cell>
          <cell r="C1036" t="str">
            <v>812-2024</v>
          </cell>
          <cell r="D1036">
            <v>3000000</v>
          </cell>
          <cell r="E1036">
            <v>59837416</v>
          </cell>
          <cell r="F1036" t="str">
            <v>RUTH INGRITH DIAZ VALERO</v>
          </cell>
        </row>
        <row r="1037">
          <cell r="A1037">
            <v>45635</v>
          </cell>
          <cell r="B1037">
            <v>2024002951</v>
          </cell>
          <cell r="C1037" t="str">
            <v>637-2024</v>
          </cell>
          <cell r="D1037">
            <v>4750000</v>
          </cell>
          <cell r="E1037">
            <v>1085293619</v>
          </cell>
          <cell r="F1037" t="str">
            <v>JERALDINE  BASTIDAS OCAÑA</v>
          </cell>
        </row>
        <row r="1038">
          <cell r="A1038">
            <v>45635</v>
          </cell>
          <cell r="B1038">
            <v>2024002952</v>
          </cell>
          <cell r="C1038" t="str">
            <v>906-2024</v>
          </cell>
          <cell r="D1038">
            <v>4750000</v>
          </cell>
          <cell r="E1038">
            <v>59651018</v>
          </cell>
          <cell r="F1038" t="str">
            <v>DIANA MARIA ERASO ALAVA</v>
          </cell>
        </row>
        <row r="1039">
          <cell r="A1039">
            <v>45635</v>
          </cell>
          <cell r="B1039">
            <v>2024002953</v>
          </cell>
          <cell r="C1039" t="str">
            <v>913-2024</v>
          </cell>
          <cell r="D1039">
            <v>2500000</v>
          </cell>
          <cell r="E1039">
            <v>1085338232</v>
          </cell>
          <cell r="F1039" t="str">
            <v>CLAUDIA DANIELA PAZ  RIVERA</v>
          </cell>
        </row>
        <row r="1040">
          <cell r="A1040">
            <v>45635</v>
          </cell>
          <cell r="B1040">
            <v>2024002954</v>
          </cell>
          <cell r="C1040" t="str">
            <v>657-2024</v>
          </cell>
          <cell r="D1040">
            <v>7540000</v>
          </cell>
          <cell r="E1040">
            <v>1085304670</v>
          </cell>
          <cell r="F1040" t="str">
            <v>PAOLA ANDREA VELEZ BOLAÑOS</v>
          </cell>
        </row>
        <row r="1041">
          <cell r="A1041">
            <v>45635</v>
          </cell>
          <cell r="B1041">
            <v>2024002955</v>
          </cell>
          <cell r="C1041" t="str">
            <v>957-2024</v>
          </cell>
          <cell r="D1041">
            <v>3000000</v>
          </cell>
          <cell r="E1041">
            <v>1085317833</v>
          </cell>
          <cell r="F1041" t="str">
            <v>ANGIE VIVIANA SACANAMBUY PAZ</v>
          </cell>
        </row>
        <row r="1042">
          <cell r="A1042">
            <v>45635</v>
          </cell>
          <cell r="B1042">
            <v>2024002956</v>
          </cell>
          <cell r="C1042" t="str">
            <v>726-2024</v>
          </cell>
          <cell r="D1042">
            <v>3000000</v>
          </cell>
          <cell r="E1042">
            <v>1030606749</v>
          </cell>
          <cell r="F1042" t="str">
            <v>ANGELA EDITH GONZALEZ PIANDA</v>
          </cell>
        </row>
        <row r="1043">
          <cell r="A1043">
            <v>45635</v>
          </cell>
          <cell r="B1043">
            <v>2024002957</v>
          </cell>
          <cell r="C1043" t="str">
            <v>675-2024</v>
          </cell>
          <cell r="D1043">
            <v>4750000</v>
          </cell>
          <cell r="E1043">
            <v>1085330309</v>
          </cell>
          <cell r="F1043" t="str">
            <v>LEYDI GISELLA BENAVIDES LÒPEZ</v>
          </cell>
        </row>
        <row r="1044">
          <cell r="A1044">
            <v>45635</v>
          </cell>
          <cell r="B1044">
            <v>2024002958</v>
          </cell>
          <cell r="C1044" t="str">
            <v>927-2024</v>
          </cell>
          <cell r="D1044">
            <v>4825000</v>
          </cell>
          <cell r="E1044">
            <v>1004508471</v>
          </cell>
          <cell r="F1044" t="str">
            <v>ISABELA CATALINA CALDERON MERA</v>
          </cell>
        </row>
        <row r="1045">
          <cell r="A1045">
            <v>45635</v>
          </cell>
          <cell r="B1045">
            <v>2024002959</v>
          </cell>
          <cell r="C1045" t="str">
            <v>850-2024</v>
          </cell>
          <cell r="D1045">
            <v>3000000</v>
          </cell>
          <cell r="E1045">
            <v>1085325718</v>
          </cell>
          <cell r="F1045" t="str">
            <v>JUAN FERNANDO ZARAMA SILVA</v>
          </cell>
        </row>
        <row r="1046">
          <cell r="A1046">
            <v>45635</v>
          </cell>
          <cell r="B1046">
            <v>2024002960</v>
          </cell>
          <cell r="C1046" t="str">
            <v>700-2024</v>
          </cell>
          <cell r="D1046">
            <v>4825000</v>
          </cell>
          <cell r="E1046">
            <v>1193385736</v>
          </cell>
          <cell r="F1046" t="str">
            <v>JHONNY  ALEXANDER SEPULVEDA DUERO</v>
          </cell>
        </row>
        <row r="1047">
          <cell r="A1047">
            <v>45635</v>
          </cell>
          <cell r="B1047">
            <v>2024002961</v>
          </cell>
          <cell r="C1047" t="str">
            <v>960-2024</v>
          </cell>
          <cell r="D1047">
            <v>3000000</v>
          </cell>
          <cell r="E1047">
            <v>27088197</v>
          </cell>
          <cell r="F1047" t="str">
            <v xml:space="preserve">MANOSALVA UNIGARRO PAULA ANDREA   </v>
          </cell>
        </row>
        <row r="1048">
          <cell r="A1048">
            <v>45635</v>
          </cell>
          <cell r="B1048">
            <v>2024002962</v>
          </cell>
          <cell r="C1048" t="str">
            <v>875-2024</v>
          </cell>
          <cell r="D1048">
            <v>6000000</v>
          </cell>
          <cell r="E1048">
            <v>1085266036</v>
          </cell>
          <cell r="F1048" t="str">
            <v>WENDY ALEXANDRA PASTAS JIMENEZ</v>
          </cell>
        </row>
        <row r="1049">
          <cell r="A1049">
            <v>45635</v>
          </cell>
          <cell r="B1049">
            <v>2024002964</v>
          </cell>
          <cell r="C1049" t="str">
            <v>665-2024</v>
          </cell>
          <cell r="D1049">
            <v>4825000</v>
          </cell>
          <cell r="E1049">
            <v>1085267184</v>
          </cell>
          <cell r="F1049" t="str">
            <v>ANGELA PAOLA BOLAÐOS ARGOTI</v>
          </cell>
        </row>
        <row r="1050">
          <cell r="A1050">
            <v>45635</v>
          </cell>
          <cell r="B1050">
            <v>2024002965</v>
          </cell>
          <cell r="C1050" t="str">
            <v>958-2024</v>
          </cell>
          <cell r="D1050">
            <v>800000</v>
          </cell>
          <cell r="E1050">
            <v>1081272318</v>
          </cell>
          <cell r="F1050" t="str">
            <v>JONATHAN DAVID NARVAEZ MUYUY</v>
          </cell>
        </row>
        <row r="1051">
          <cell r="A1051">
            <v>45635</v>
          </cell>
          <cell r="B1051">
            <v>2024002966</v>
          </cell>
          <cell r="C1051" t="str">
            <v>926-2024</v>
          </cell>
          <cell r="D1051">
            <v>4825000</v>
          </cell>
          <cell r="E1051">
            <v>1085324891</v>
          </cell>
          <cell r="F1051" t="str">
            <v>NICOLAS ALEJANDRO ROSERO MORILLO</v>
          </cell>
        </row>
        <row r="1052">
          <cell r="A1052">
            <v>45635</v>
          </cell>
          <cell r="B1052">
            <v>2024002967</v>
          </cell>
          <cell r="C1052" t="str">
            <v>783-2024</v>
          </cell>
          <cell r="D1052">
            <v>2500000</v>
          </cell>
          <cell r="E1052">
            <v>1085327836</v>
          </cell>
          <cell r="F1052" t="str">
            <v>ANGELA ESTEFANYA NASPIRAN  JOJOA</v>
          </cell>
        </row>
        <row r="1053">
          <cell r="A1053">
            <v>45635</v>
          </cell>
          <cell r="B1053">
            <v>2024002968</v>
          </cell>
          <cell r="C1053" t="str">
            <v>740-2024</v>
          </cell>
          <cell r="D1053">
            <v>3000000</v>
          </cell>
          <cell r="E1053">
            <v>36752202</v>
          </cell>
          <cell r="F1053" t="str">
            <v>PAULA ANDREA ROCHA DELGADO</v>
          </cell>
        </row>
        <row r="1054">
          <cell r="A1054">
            <v>45635</v>
          </cell>
          <cell r="B1054">
            <v>2024002969</v>
          </cell>
          <cell r="C1054" t="str">
            <v>800-2024</v>
          </cell>
          <cell r="D1054">
            <v>2500000</v>
          </cell>
          <cell r="E1054">
            <v>1233189896</v>
          </cell>
          <cell r="F1054" t="str">
            <v>NICOLAS EMILIO MENA  JOJOA</v>
          </cell>
        </row>
        <row r="1055">
          <cell r="A1055">
            <v>45635</v>
          </cell>
          <cell r="B1055">
            <v>2024002970</v>
          </cell>
          <cell r="C1055" t="str">
            <v>645-2024</v>
          </cell>
          <cell r="D1055">
            <v>6000000</v>
          </cell>
          <cell r="E1055">
            <v>1089242085</v>
          </cell>
          <cell r="F1055" t="str">
            <v>DANNY YESID DELGADO MORA</v>
          </cell>
        </row>
        <row r="1056">
          <cell r="A1056">
            <v>45635</v>
          </cell>
          <cell r="B1056">
            <v>2024002971</v>
          </cell>
          <cell r="C1056" t="str">
            <v>1007-2024</v>
          </cell>
          <cell r="D1056">
            <v>7540000</v>
          </cell>
          <cell r="E1056">
            <v>1085251158</v>
          </cell>
          <cell r="F1056" t="str">
            <v>OMAR ALEXANDER ORTIZ PAZMIÑO</v>
          </cell>
        </row>
        <row r="1057">
          <cell r="A1057">
            <v>45635</v>
          </cell>
          <cell r="B1057">
            <v>2024002972</v>
          </cell>
          <cell r="C1057" t="str">
            <v>744-2024</v>
          </cell>
          <cell r="D1057">
            <v>3000000</v>
          </cell>
          <cell r="E1057">
            <v>1085327677</v>
          </cell>
          <cell r="F1057" t="str">
            <v>JINETH VANESA CONSTAIN LASSO</v>
          </cell>
        </row>
        <row r="1058">
          <cell r="A1058">
            <v>45635</v>
          </cell>
          <cell r="B1058">
            <v>2024002973</v>
          </cell>
          <cell r="C1058" t="str">
            <v>914-2024</v>
          </cell>
          <cell r="D1058">
            <v>2500000</v>
          </cell>
          <cell r="E1058">
            <v>1085310465</v>
          </cell>
          <cell r="F1058" t="str">
            <v>YAMILE ALEJANDRA BOTINA RODRIGUEZ</v>
          </cell>
        </row>
        <row r="1059">
          <cell r="A1059">
            <v>45635</v>
          </cell>
          <cell r="B1059">
            <v>2024002974</v>
          </cell>
          <cell r="C1059" t="str">
            <v>662-2024</v>
          </cell>
          <cell r="D1059">
            <v>7540000</v>
          </cell>
          <cell r="E1059">
            <v>1193202097</v>
          </cell>
          <cell r="F1059" t="str">
            <v>VERONICA SOFIA HUERTAS ARCINIEGAS</v>
          </cell>
        </row>
        <row r="1060">
          <cell r="A1060">
            <v>45635</v>
          </cell>
          <cell r="B1060">
            <v>2024002975</v>
          </cell>
          <cell r="C1060" t="str">
            <v>845-2024</v>
          </cell>
          <cell r="D1060">
            <v>6000000</v>
          </cell>
          <cell r="E1060">
            <v>1087420025</v>
          </cell>
          <cell r="F1060" t="str">
            <v>ELIANA YORLENY BENAVIDES GUERRERO</v>
          </cell>
        </row>
        <row r="1061">
          <cell r="A1061">
            <v>45635</v>
          </cell>
          <cell r="B1061">
            <v>2024002976</v>
          </cell>
          <cell r="C1061" t="str">
            <v>806-2024</v>
          </cell>
          <cell r="D1061">
            <v>3000000</v>
          </cell>
          <cell r="E1061">
            <v>1004726758</v>
          </cell>
          <cell r="F1061" t="str">
            <v>NORIDA JULIETH TOBAR ARTEAGA</v>
          </cell>
        </row>
        <row r="1062">
          <cell r="A1062">
            <v>45635</v>
          </cell>
          <cell r="B1062">
            <v>2024002981</v>
          </cell>
          <cell r="C1062" t="str">
            <v>720-2024</v>
          </cell>
          <cell r="D1062">
            <v>4750000</v>
          </cell>
          <cell r="E1062">
            <v>1085345772</v>
          </cell>
          <cell r="F1062" t="str">
            <v>MARIA ISABEL ALVAREZ CAICEDO</v>
          </cell>
        </row>
        <row r="1063">
          <cell r="A1063">
            <v>45635</v>
          </cell>
          <cell r="B1063">
            <v>2024002982</v>
          </cell>
          <cell r="C1063" t="str">
            <v>1001-2024</v>
          </cell>
          <cell r="D1063">
            <v>2500000</v>
          </cell>
          <cell r="E1063">
            <v>36950441</v>
          </cell>
          <cell r="F1063" t="str">
            <v>MARIA CLAUDIA ZAMBRANO BOLAÑOS</v>
          </cell>
        </row>
        <row r="1064">
          <cell r="A1064">
            <v>45636</v>
          </cell>
          <cell r="B1064">
            <v>2024002985</v>
          </cell>
          <cell r="C1064" t="str">
            <v>1021-2024</v>
          </cell>
          <cell r="D1064">
            <v>2733600</v>
          </cell>
          <cell r="E1064">
            <v>31324345</v>
          </cell>
          <cell r="F1064" t="str">
            <v>AURA CECILIA POSADA BARRIOS</v>
          </cell>
        </row>
        <row r="1065">
          <cell r="A1065">
            <v>45636</v>
          </cell>
          <cell r="B1065">
            <v>2024002986</v>
          </cell>
          <cell r="C1065" t="str">
            <v>673-2024</v>
          </cell>
          <cell r="D1065">
            <v>7540000</v>
          </cell>
          <cell r="E1065">
            <v>1233189066</v>
          </cell>
          <cell r="F1065" t="str">
            <v>GERALDINE  VIVIANA VILLOTA ARTEAGA</v>
          </cell>
        </row>
        <row r="1066">
          <cell r="A1066">
            <v>45636</v>
          </cell>
          <cell r="B1066">
            <v>2024002995</v>
          </cell>
          <cell r="C1066" t="str">
            <v>831-2024</v>
          </cell>
          <cell r="D1066">
            <v>3000000</v>
          </cell>
          <cell r="E1066">
            <v>1085286725</v>
          </cell>
          <cell r="F1066" t="str">
            <v>DIANA CAROLINA ORTEGA CAICEDO</v>
          </cell>
        </row>
        <row r="1067">
          <cell r="A1067">
            <v>45636</v>
          </cell>
          <cell r="B1067">
            <v>2024002996</v>
          </cell>
          <cell r="C1067" t="str">
            <v>711-2024</v>
          </cell>
          <cell r="D1067">
            <v>3000000</v>
          </cell>
          <cell r="E1067">
            <v>1007356378</v>
          </cell>
          <cell r="F1067" t="str">
            <v>NAYIBI JANED MELO DELGADO</v>
          </cell>
        </row>
        <row r="1068">
          <cell r="A1068">
            <v>45636</v>
          </cell>
          <cell r="B1068">
            <v>2024002997</v>
          </cell>
          <cell r="C1068" t="str">
            <v>718-2024</v>
          </cell>
          <cell r="D1068">
            <v>3000000</v>
          </cell>
          <cell r="E1068">
            <v>27087122</v>
          </cell>
          <cell r="F1068" t="str">
            <v>MARITZA ROCIO OLIVA CUZ</v>
          </cell>
        </row>
        <row r="1069">
          <cell r="A1069">
            <v>45636</v>
          </cell>
          <cell r="B1069">
            <v>2024002998</v>
          </cell>
          <cell r="C1069" t="str">
            <v>801-2024</v>
          </cell>
          <cell r="D1069">
            <v>2500000</v>
          </cell>
          <cell r="E1069">
            <v>1085330079</v>
          </cell>
          <cell r="F1069" t="str">
            <v>ANGIE GIONELLA HERNANDEZ VILLOTA</v>
          </cell>
        </row>
        <row r="1070">
          <cell r="A1070">
            <v>45636</v>
          </cell>
          <cell r="B1070">
            <v>2024002999</v>
          </cell>
          <cell r="C1070" t="str">
            <v>641-2024</v>
          </cell>
          <cell r="D1070">
            <v>7500000</v>
          </cell>
          <cell r="E1070">
            <v>1088599676</v>
          </cell>
          <cell r="F1070" t="str">
            <v>DANIEL GERARDO ERAZO OVIEDO</v>
          </cell>
        </row>
        <row r="1071">
          <cell r="A1071">
            <v>45636</v>
          </cell>
          <cell r="B1071">
            <v>2024003001</v>
          </cell>
          <cell r="C1071" t="str">
            <v>1006-2024</v>
          </cell>
          <cell r="D1071">
            <v>4750000</v>
          </cell>
          <cell r="E1071">
            <v>1233188873</v>
          </cell>
          <cell r="F1071" t="str">
            <v>DIANA MARCELA MELO ERASO</v>
          </cell>
        </row>
        <row r="1072">
          <cell r="A1072">
            <v>45636</v>
          </cell>
          <cell r="B1072">
            <v>2024003002</v>
          </cell>
          <cell r="C1072" t="str">
            <v>970-2024</v>
          </cell>
          <cell r="D1072">
            <v>3000000</v>
          </cell>
          <cell r="E1072">
            <v>1081272656</v>
          </cell>
          <cell r="F1072" t="str">
            <v>ALISSON STEF ROSERO RODRIGUEZ</v>
          </cell>
        </row>
        <row r="1073">
          <cell r="A1073">
            <v>45637</v>
          </cell>
          <cell r="B1073">
            <v>2024003004</v>
          </cell>
          <cell r="C1073" t="str">
            <v>810-2024</v>
          </cell>
          <cell r="D1073">
            <v>3000000</v>
          </cell>
          <cell r="E1073">
            <v>1004410201</v>
          </cell>
          <cell r="F1073" t="str">
            <v>JAIRO  ALBERTO MAIGUAL MIRAMAG</v>
          </cell>
        </row>
        <row r="1074">
          <cell r="A1074">
            <v>45637</v>
          </cell>
          <cell r="B1074">
            <v>2024003005</v>
          </cell>
          <cell r="C1074" t="str">
            <v>891-2024</v>
          </cell>
          <cell r="D1074">
            <v>55861750</v>
          </cell>
          <cell r="E1074">
            <v>900633448</v>
          </cell>
          <cell r="F1074" t="str">
            <v>EXPRESO SURAMERICANA DE TURISMO SAS</v>
          </cell>
        </row>
        <row r="1075">
          <cell r="A1075">
            <v>45637</v>
          </cell>
          <cell r="B1075">
            <v>2024003006</v>
          </cell>
          <cell r="C1075" t="str">
            <v>888-2024</v>
          </cell>
          <cell r="D1075">
            <v>85878450</v>
          </cell>
          <cell r="E1075">
            <v>900633448</v>
          </cell>
          <cell r="F1075" t="str">
            <v>EXPRESO SURAMERICANA DE TURISMO SAS</v>
          </cell>
        </row>
        <row r="1076">
          <cell r="A1076">
            <v>45637</v>
          </cell>
          <cell r="B1076">
            <v>2024003007</v>
          </cell>
          <cell r="C1076" t="str">
            <v>885-2024</v>
          </cell>
          <cell r="D1076">
            <v>2500000</v>
          </cell>
          <cell r="E1076">
            <v>1085289798</v>
          </cell>
          <cell r="F1076" t="str">
            <v>DIEGO FERNANDO DELGADO ERASO</v>
          </cell>
        </row>
        <row r="1077">
          <cell r="A1077">
            <v>45637</v>
          </cell>
          <cell r="B1077">
            <v>2024003008</v>
          </cell>
          <cell r="C1077" t="str">
            <v>889-2024</v>
          </cell>
          <cell r="D1077">
            <v>63773500</v>
          </cell>
          <cell r="E1077">
            <v>900633448</v>
          </cell>
          <cell r="F1077" t="str">
            <v>EXPRESO SURAMERICANA DE TURISMO SAS</v>
          </cell>
        </row>
        <row r="1078">
          <cell r="A1078">
            <v>45637</v>
          </cell>
          <cell r="B1078">
            <v>2024003009</v>
          </cell>
          <cell r="C1078" t="str">
            <v>679-2024</v>
          </cell>
          <cell r="D1078">
            <v>6000000</v>
          </cell>
          <cell r="E1078">
            <v>36954410</v>
          </cell>
          <cell r="F1078" t="str">
            <v>KARINA MARIBEL LUNA LOPEZ</v>
          </cell>
        </row>
        <row r="1079">
          <cell r="A1079">
            <v>45637</v>
          </cell>
          <cell r="B1079">
            <v>2024003010</v>
          </cell>
          <cell r="C1079" t="str">
            <v>890-2024</v>
          </cell>
          <cell r="D1079">
            <v>87508750</v>
          </cell>
          <cell r="E1079">
            <v>900633448</v>
          </cell>
          <cell r="F1079" t="str">
            <v>EXPRESO SURAMERICANA DE TURISMO SAS</v>
          </cell>
        </row>
        <row r="1080">
          <cell r="A1080">
            <v>45637</v>
          </cell>
          <cell r="B1080">
            <v>2024003011</v>
          </cell>
          <cell r="C1080" t="str">
            <v>872-2024</v>
          </cell>
          <cell r="D1080">
            <v>7540000</v>
          </cell>
          <cell r="E1080">
            <v>1085344794</v>
          </cell>
          <cell r="F1080" t="str">
            <v>IVAN ALEXANDER BEJARANO RAMIREZ</v>
          </cell>
        </row>
        <row r="1081">
          <cell r="A1081">
            <v>45637</v>
          </cell>
          <cell r="B1081">
            <v>2024003012</v>
          </cell>
          <cell r="C1081" t="str">
            <v>866-2024</v>
          </cell>
          <cell r="D1081">
            <v>3000000</v>
          </cell>
          <cell r="E1081">
            <v>1084224968</v>
          </cell>
          <cell r="F1081" t="str">
            <v>VIVIAN ROXANA JURADO BANDA</v>
          </cell>
        </row>
        <row r="1082">
          <cell r="A1082">
            <v>45637</v>
          </cell>
          <cell r="B1082">
            <v>2024003013</v>
          </cell>
          <cell r="C1082" t="str">
            <v>704-2024</v>
          </cell>
          <cell r="D1082">
            <v>106164667</v>
          </cell>
          <cell r="E1082">
            <v>900994364</v>
          </cell>
          <cell r="F1082" t="str">
            <v>FUNDACIÓN CALIDAD DE VIDA Y ESPERANZA</v>
          </cell>
        </row>
        <row r="1083">
          <cell r="A1083">
            <v>45637</v>
          </cell>
          <cell r="B1083">
            <v>2024003014</v>
          </cell>
          <cell r="C1083" t="str">
            <v>792-2024</v>
          </cell>
          <cell r="D1083">
            <v>3000000</v>
          </cell>
          <cell r="E1083">
            <v>1081052746</v>
          </cell>
          <cell r="F1083" t="str">
            <v>JULIETH CAROLINA DIAZ FIGUEROA</v>
          </cell>
        </row>
        <row r="1084">
          <cell r="A1084">
            <v>45637</v>
          </cell>
          <cell r="B1084">
            <v>2024003016</v>
          </cell>
          <cell r="C1084" t="str">
            <v>880-2024</v>
          </cell>
          <cell r="D1084">
            <v>7540000</v>
          </cell>
          <cell r="E1084">
            <v>1085293105</v>
          </cell>
          <cell r="F1084" t="str">
            <v>CAMILO JAVIER OÑATE BUCHELI</v>
          </cell>
        </row>
        <row r="1085">
          <cell r="A1085">
            <v>45637</v>
          </cell>
          <cell r="B1085">
            <v>2024003017</v>
          </cell>
          <cell r="C1085" t="str">
            <v>786-2024</v>
          </cell>
          <cell r="D1085">
            <v>2500000</v>
          </cell>
          <cell r="E1085">
            <v>59830219</v>
          </cell>
          <cell r="F1085" t="str">
            <v>ADRIANA GABRIELA DIAZ MONTENEGRO</v>
          </cell>
        </row>
        <row r="1086">
          <cell r="A1086">
            <v>45637</v>
          </cell>
          <cell r="B1086">
            <v>2024003018</v>
          </cell>
          <cell r="C1086" t="str">
            <v>995-2024</v>
          </cell>
          <cell r="D1086">
            <v>7540000</v>
          </cell>
          <cell r="E1086">
            <v>1085291725</v>
          </cell>
          <cell r="F1086" t="str">
            <v>LAURA VIVIANA  LASSO GONZALEZ</v>
          </cell>
        </row>
        <row r="1087">
          <cell r="A1087">
            <v>45637</v>
          </cell>
          <cell r="B1087">
            <v>2024003019</v>
          </cell>
          <cell r="C1087" t="str">
            <v>829-2024</v>
          </cell>
          <cell r="D1087">
            <v>3000000</v>
          </cell>
          <cell r="E1087">
            <v>30743783</v>
          </cell>
          <cell r="F1087" t="str">
            <v>JAQUELINE  MELO MOSQUERA</v>
          </cell>
        </row>
        <row r="1088">
          <cell r="A1088">
            <v>45637</v>
          </cell>
          <cell r="B1088">
            <v>2024003020</v>
          </cell>
          <cell r="C1088" t="str">
            <v>747-2024</v>
          </cell>
          <cell r="D1088">
            <v>3000000</v>
          </cell>
          <cell r="E1088">
            <v>1085318688</v>
          </cell>
          <cell r="F1088" t="str">
            <v>DARLLY ROXANA ROSERO TIMARÁN</v>
          </cell>
        </row>
        <row r="1089">
          <cell r="A1089">
            <v>45637</v>
          </cell>
          <cell r="B1089">
            <v>2024003021</v>
          </cell>
          <cell r="C1089" t="str">
            <v>856-2024</v>
          </cell>
          <cell r="D1089">
            <v>3000000</v>
          </cell>
          <cell r="E1089">
            <v>1085339190</v>
          </cell>
          <cell r="F1089" t="str">
            <v>KELLY YURANY JOJOA BOTINA</v>
          </cell>
        </row>
        <row r="1090">
          <cell r="A1090">
            <v>45637</v>
          </cell>
          <cell r="B1090">
            <v>2024003022</v>
          </cell>
          <cell r="C1090" t="str">
            <v>933-2024</v>
          </cell>
          <cell r="D1090">
            <v>2500000</v>
          </cell>
          <cell r="E1090">
            <v>12994466</v>
          </cell>
          <cell r="F1090" t="str">
            <v>JHON JAIRO GOMAJOA ACHICANOY</v>
          </cell>
        </row>
        <row r="1091">
          <cell r="A1091">
            <v>45637</v>
          </cell>
          <cell r="B1091">
            <v>2024003023</v>
          </cell>
          <cell r="C1091" t="str">
            <v>742-2024</v>
          </cell>
          <cell r="D1091">
            <v>3000000</v>
          </cell>
          <cell r="E1091">
            <v>13070330</v>
          </cell>
          <cell r="F1091" t="str">
            <v>ELBER ALFREDO CAMPAÑA IMBAQUIN</v>
          </cell>
        </row>
        <row r="1092">
          <cell r="A1092">
            <v>45637</v>
          </cell>
          <cell r="B1092">
            <v>2024003024</v>
          </cell>
          <cell r="C1092" t="str">
            <v>644-2024</v>
          </cell>
          <cell r="D1092">
            <v>4750000</v>
          </cell>
          <cell r="E1092">
            <v>59824313</v>
          </cell>
          <cell r="F1092" t="str">
            <v>FANY LUCELY RODRIGUEZ CRIOLLO</v>
          </cell>
        </row>
        <row r="1093">
          <cell r="A1093">
            <v>45637</v>
          </cell>
          <cell r="B1093">
            <v>2024003025</v>
          </cell>
          <cell r="C1093" t="str">
            <v>778-2024</v>
          </cell>
          <cell r="D1093">
            <v>4750000</v>
          </cell>
          <cell r="E1093">
            <v>36759759</v>
          </cell>
          <cell r="F1093" t="str">
            <v>LAUREN AZENITH CORAL SAMUDIO</v>
          </cell>
        </row>
        <row r="1094">
          <cell r="A1094">
            <v>45637</v>
          </cell>
          <cell r="B1094">
            <v>2024003026</v>
          </cell>
          <cell r="C1094" t="str">
            <v>666-2024</v>
          </cell>
          <cell r="D1094">
            <v>4825000</v>
          </cell>
          <cell r="E1094">
            <v>1087643211</v>
          </cell>
          <cell r="F1094" t="str">
            <v>NIEVES FERNANDA AZZA ORDOÑEZ</v>
          </cell>
        </row>
        <row r="1095">
          <cell r="A1095">
            <v>45637</v>
          </cell>
          <cell r="B1095">
            <v>2024003027</v>
          </cell>
          <cell r="C1095" t="str">
            <v>699-2024</v>
          </cell>
          <cell r="D1095">
            <v>3000000</v>
          </cell>
          <cell r="E1095">
            <v>1081272025</v>
          </cell>
          <cell r="F1095" t="str">
            <v>ANGIE GABRIELA ENRIQUEZ TACAN</v>
          </cell>
        </row>
        <row r="1096">
          <cell r="A1096">
            <v>45637</v>
          </cell>
          <cell r="B1096">
            <v>2024003028</v>
          </cell>
          <cell r="C1096" t="str">
            <v>728-2024</v>
          </cell>
          <cell r="D1096">
            <v>3000000</v>
          </cell>
          <cell r="E1096">
            <v>1193385397</v>
          </cell>
          <cell r="F1096" t="str">
            <v>KAROL ESTEFANY MIRANDA TOBAR</v>
          </cell>
        </row>
        <row r="1097">
          <cell r="A1097">
            <v>45637</v>
          </cell>
          <cell r="B1097">
            <v>2024003029</v>
          </cell>
          <cell r="C1097" t="str">
            <v>682-2024</v>
          </cell>
          <cell r="D1097">
            <v>4750000</v>
          </cell>
          <cell r="E1097">
            <v>87060703</v>
          </cell>
          <cell r="F1097" t="str">
            <v>JESUS ARMANDO MARTÍNEZ GÓMEZ</v>
          </cell>
        </row>
        <row r="1098">
          <cell r="A1098">
            <v>45637</v>
          </cell>
          <cell r="B1098">
            <v>2024003030</v>
          </cell>
          <cell r="C1098" t="str">
            <v>672-2024</v>
          </cell>
          <cell r="D1098">
            <v>6000000</v>
          </cell>
          <cell r="E1098">
            <v>1085254626</v>
          </cell>
          <cell r="F1098" t="str">
            <v>CAROLINA ISABEL PORTILLA TEPUD</v>
          </cell>
        </row>
        <row r="1099">
          <cell r="A1099">
            <v>45637</v>
          </cell>
          <cell r="B1099">
            <v>2024003031</v>
          </cell>
          <cell r="C1099" t="str">
            <v>646-2024</v>
          </cell>
          <cell r="D1099">
            <v>7540000</v>
          </cell>
          <cell r="E1099">
            <v>1085332934</v>
          </cell>
          <cell r="F1099" t="str">
            <v>NELLY VANESSA ORDOÑEZ BASTIDAS</v>
          </cell>
        </row>
        <row r="1100">
          <cell r="A1100">
            <v>45637</v>
          </cell>
          <cell r="B1100">
            <v>2024003032</v>
          </cell>
          <cell r="C1100" t="str">
            <v>745-2024</v>
          </cell>
          <cell r="D1100">
            <v>3000000</v>
          </cell>
          <cell r="E1100">
            <v>1085296353</v>
          </cell>
          <cell r="F1100" t="str">
            <v>VERONICA ROXANA MORAN VILLOTA</v>
          </cell>
        </row>
        <row r="1101">
          <cell r="A1101">
            <v>45637</v>
          </cell>
          <cell r="B1101">
            <v>2024003033</v>
          </cell>
          <cell r="C1101" t="str">
            <v>658-2024</v>
          </cell>
          <cell r="D1101">
            <v>4750000</v>
          </cell>
          <cell r="E1101">
            <v>1087414586</v>
          </cell>
          <cell r="F1101" t="str">
            <v>YULY MARCELA MORALES LOPEZ</v>
          </cell>
        </row>
        <row r="1102">
          <cell r="A1102">
            <v>45637</v>
          </cell>
          <cell r="B1102">
            <v>2024003034</v>
          </cell>
          <cell r="C1102" t="str">
            <v>845-2024</v>
          </cell>
          <cell r="D1102">
            <v>6000000</v>
          </cell>
          <cell r="E1102">
            <v>1087420025</v>
          </cell>
          <cell r="F1102" t="str">
            <v>ELIANA YORLENY BENAVIDES GUERRERO</v>
          </cell>
        </row>
        <row r="1103">
          <cell r="A1103">
            <v>45637</v>
          </cell>
          <cell r="B1103">
            <v>2024003035</v>
          </cell>
          <cell r="C1103" t="str">
            <v>928-2024</v>
          </cell>
          <cell r="D1103">
            <v>7540000</v>
          </cell>
          <cell r="E1103">
            <v>1233193882</v>
          </cell>
          <cell r="F1103" t="str">
            <v>YULI NATHALIA CALI RODRIGUEZ</v>
          </cell>
        </row>
        <row r="1104">
          <cell r="A1104">
            <v>45637</v>
          </cell>
          <cell r="B1104">
            <v>2024003036</v>
          </cell>
          <cell r="C1104" t="str">
            <v>925-2024</v>
          </cell>
          <cell r="D1104">
            <v>6000000</v>
          </cell>
          <cell r="E1104">
            <v>1004131723</v>
          </cell>
          <cell r="F1104" t="str">
            <v>ALEJANDRA LUCIA BENAVIDES ZAMORA</v>
          </cell>
        </row>
        <row r="1105">
          <cell r="A1105">
            <v>45637</v>
          </cell>
          <cell r="B1105">
            <v>2024003040</v>
          </cell>
          <cell r="C1105" t="str">
            <v>703-2024</v>
          </cell>
          <cell r="D1105">
            <v>3000000</v>
          </cell>
          <cell r="E1105">
            <v>1085295383</v>
          </cell>
          <cell r="F1105" t="str">
            <v>ELOISA YERALDINE FREYRE GOMEZ</v>
          </cell>
        </row>
        <row r="1106">
          <cell r="A1106">
            <v>45637</v>
          </cell>
          <cell r="B1106">
            <v>2024003041</v>
          </cell>
          <cell r="C1106" t="str">
            <v>663-2024</v>
          </cell>
          <cell r="D1106">
            <v>7540000</v>
          </cell>
          <cell r="E1106">
            <v>1085336362</v>
          </cell>
          <cell r="F1106" t="str">
            <v>SOFIA ESMERALDA MEJIA ORTÍZ</v>
          </cell>
        </row>
        <row r="1107">
          <cell r="A1107">
            <v>45637</v>
          </cell>
          <cell r="B1107">
            <v>2024003042</v>
          </cell>
          <cell r="C1107" t="str">
            <v>915-2024</v>
          </cell>
          <cell r="D1107">
            <v>4750000</v>
          </cell>
          <cell r="E1107">
            <v>1085343783</v>
          </cell>
          <cell r="F1107" t="str">
            <v>DANIELA ALEXANDRA DIAZ GUERRERO</v>
          </cell>
        </row>
        <row r="1108">
          <cell r="A1108">
            <v>45637</v>
          </cell>
          <cell r="B1108">
            <v>2024003043</v>
          </cell>
          <cell r="C1108" t="str">
            <v>992-2024</v>
          </cell>
          <cell r="D1108">
            <v>7540000</v>
          </cell>
          <cell r="E1108">
            <v>1085315800</v>
          </cell>
          <cell r="F1108" t="str">
            <v>DIANA CAROLINA ESCOBAR ANDRADE</v>
          </cell>
        </row>
        <row r="1109">
          <cell r="A1109">
            <v>45637</v>
          </cell>
          <cell r="B1109">
            <v>2024003044</v>
          </cell>
          <cell r="C1109" t="str">
            <v>1010-2024</v>
          </cell>
          <cell r="D1109">
            <v>7540000</v>
          </cell>
          <cell r="E1109">
            <v>1085327344</v>
          </cell>
          <cell r="F1109" t="str">
            <v>MARIANA ELIZABETH ROMO PANTOJA</v>
          </cell>
        </row>
        <row r="1110">
          <cell r="A1110">
            <v>45637</v>
          </cell>
          <cell r="B1110">
            <v>2024003045</v>
          </cell>
          <cell r="C1110" t="str">
            <v>1004-2024</v>
          </cell>
          <cell r="D1110">
            <v>7540000</v>
          </cell>
          <cell r="E1110">
            <v>1085317791</v>
          </cell>
          <cell r="F1110" t="str">
            <v>CATALINA  MARTINEZ RAMOS</v>
          </cell>
        </row>
        <row r="1111">
          <cell r="A1111">
            <v>45637</v>
          </cell>
          <cell r="B1111">
            <v>2024003046</v>
          </cell>
          <cell r="C1111" t="str">
            <v>996-2024</v>
          </cell>
          <cell r="D1111">
            <v>4750000</v>
          </cell>
          <cell r="E1111">
            <v>59824800</v>
          </cell>
          <cell r="F1111" t="str">
            <v>GRECIA INES ANGEL DIOSA</v>
          </cell>
        </row>
        <row r="1112">
          <cell r="A1112">
            <v>45637</v>
          </cell>
          <cell r="B1112">
            <v>2024003047</v>
          </cell>
          <cell r="C1112" t="str">
            <v>758-2024</v>
          </cell>
          <cell r="D1112">
            <v>6000000</v>
          </cell>
          <cell r="E1112">
            <v>79724257</v>
          </cell>
          <cell r="F1112" t="str">
            <v>LEONEL FERNANDO JOJOA JOJOA</v>
          </cell>
        </row>
        <row r="1113">
          <cell r="A1113">
            <v>45637</v>
          </cell>
          <cell r="B1113">
            <v>2024003048</v>
          </cell>
          <cell r="C1113" t="str">
            <v>966-2024</v>
          </cell>
          <cell r="D1113">
            <v>916300</v>
          </cell>
          <cell r="E1113">
            <v>1085268450</v>
          </cell>
          <cell r="F1113" t="str">
            <v>MONICA PATRICIA JOJOA BOTINA</v>
          </cell>
        </row>
        <row r="1114">
          <cell r="A1114">
            <v>45637</v>
          </cell>
          <cell r="B1114">
            <v>2024003049</v>
          </cell>
          <cell r="C1114" t="str">
            <v>790-2024</v>
          </cell>
          <cell r="D1114">
            <v>2500000</v>
          </cell>
          <cell r="E1114">
            <v>36759281</v>
          </cell>
          <cell r="F1114" t="str">
            <v>VERONICA  HURTADO PASCUAZA</v>
          </cell>
        </row>
        <row r="1115">
          <cell r="A1115">
            <v>45637</v>
          </cell>
          <cell r="B1115">
            <v>2024003050</v>
          </cell>
          <cell r="C1115" t="str">
            <v>980-2024</v>
          </cell>
          <cell r="D1115">
            <v>4825000</v>
          </cell>
          <cell r="E1115">
            <v>59177204</v>
          </cell>
          <cell r="F1115" t="str">
            <v>NAYIBI ROCIO MONCADA JATIVA</v>
          </cell>
        </row>
        <row r="1116">
          <cell r="A1116">
            <v>45637</v>
          </cell>
          <cell r="B1116">
            <v>2024003051</v>
          </cell>
          <cell r="C1116" t="str">
            <v>988-2024</v>
          </cell>
          <cell r="D1116">
            <v>4825000</v>
          </cell>
          <cell r="E1116">
            <v>1085306723</v>
          </cell>
          <cell r="F1116" t="str">
            <v>DIANA LIZETH RAMOS  MENESES</v>
          </cell>
        </row>
        <row r="1117">
          <cell r="A1117">
            <v>45637</v>
          </cell>
          <cell r="B1117">
            <v>2024003052</v>
          </cell>
          <cell r="C1117" t="str">
            <v>849-2024</v>
          </cell>
          <cell r="D1117">
            <v>3000000</v>
          </cell>
          <cell r="E1117">
            <v>1085277516</v>
          </cell>
          <cell r="F1117" t="str">
            <v>ANA MARCELA LOPEZ RUALES</v>
          </cell>
        </row>
        <row r="1118">
          <cell r="A1118">
            <v>45637</v>
          </cell>
          <cell r="B1118">
            <v>2024003053</v>
          </cell>
          <cell r="C1118" t="str">
            <v>901-2024</v>
          </cell>
          <cell r="D1118">
            <v>3000000</v>
          </cell>
          <cell r="E1118">
            <v>1085275473</v>
          </cell>
          <cell r="F1118" t="str">
            <v>LADY VIVIANA CASTRO GUAUÑA</v>
          </cell>
        </row>
        <row r="1119">
          <cell r="A1119">
            <v>45637</v>
          </cell>
          <cell r="B1119">
            <v>2024003054</v>
          </cell>
          <cell r="C1119" t="str">
            <v>916-2024</v>
          </cell>
          <cell r="D1119">
            <v>3000000</v>
          </cell>
          <cell r="E1119">
            <v>1085322676</v>
          </cell>
          <cell r="F1119" t="str">
            <v>JULIANA ALEJANDRA BASTIDAS JOJOA</v>
          </cell>
        </row>
        <row r="1120">
          <cell r="A1120">
            <v>45637</v>
          </cell>
          <cell r="B1120">
            <v>2024003055</v>
          </cell>
          <cell r="C1120" t="str">
            <v>776-2024</v>
          </cell>
          <cell r="D1120">
            <v>3000000</v>
          </cell>
          <cell r="E1120">
            <v>59830040</v>
          </cell>
          <cell r="F1120" t="str">
            <v>ANA CLEMENCIA BASTIDAS CERON</v>
          </cell>
        </row>
        <row r="1121">
          <cell r="A1121">
            <v>45637</v>
          </cell>
          <cell r="B1121">
            <v>2024003056</v>
          </cell>
          <cell r="C1121" t="str">
            <v>869-2024</v>
          </cell>
          <cell r="D1121">
            <v>3000000</v>
          </cell>
          <cell r="E1121">
            <v>1085324685</v>
          </cell>
          <cell r="F1121" t="str">
            <v>LINA MARIA PIZANO PEREZ</v>
          </cell>
        </row>
        <row r="1122">
          <cell r="A1122">
            <v>45637</v>
          </cell>
          <cell r="B1122">
            <v>2024003057</v>
          </cell>
          <cell r="C1122" t="str">
            <v>882-2024</v>
          </cell>
          <cell r="D1122">
            <v>3000000</v>
          </cell>
          <cell r="E1122">
            <v>1085310350</v>
          </cell>
          <cell r="F1122" t="str">
            <v>DANIELA  DELGADO CHAMORRO</v>
          </cell>
        </row>
        <row r="1123">
          <cell r="A1123">
            <v>45638</v>
          </cell>
          <cell r="B1123">
            <v>2024003058</v>
          </cell>
          <cell r="C1123" t="str">
            <v>708-2024</v>
          </cell>
          <cell r="D1123">
            <v>3000000</v>
          </cell>
          <cell r="E1123">
            <v>1004709928</v>
          </cell>
          <cell r="F1123" t="str">
            <v>DEISY ANDREA MARTÍNEZ NARVAEZ</v>
          </cell>
        </row>
        <row r="1124">
          <cell r="A1124">
            <v>45638</v>
          </cell>
          <cell r="B1124">
            <v>2024003059</v>
          </cell>
          <cell r="C1124" t="str">
            <v>946-2024</v>
          </cell>
          <cell r="D1124">
            <v>2200000</v>
          </cell>
          <cell r="E1124">
            <v>1233193716</v>
          </cell>
          <cell r="F1124" t="str">
            <v>MARIA CAMILA PATIÑO DELGADO</v>
          </cell>
        </row>
        <row r="1125">
          <cell r="A1125">
            <v>45638</v>
          </cell>
          <cell r="B1125">
            <v>2024003060</v>
          </cell>
          <cell r="C1125" t="str">
            <v>695-2024</v>
          </cell>
          <cell r="D1125">
            <v>3000000</v>
          </cell>
          <cell r="E1125">
            <v>1085260568</v>
          </cell>
          <cell r="F1125" t="str">
            <v>SONIA PATRICIA ESPANA TAPIA</v>
          </cell>
        </row>
        <row r="1126">
          <cell r="A1126">
            <v>45638</v>
          </cell>
          <cell r="B1126">
            <v>2024003061</v>
          </cell>
          <cell r="C1126" t="str">
            <v>993-2024</v>
          </cell>
          <cell r="D1126">
            <v>7540000</v>
          </cell>
          <cell r="E1126">
            <v>1085262570</v>
          </cell>
          <cell r="F1126" t="str">
            <v>PAOLA XIMENA ERIRA TORRES</v>
          </cell>
        </row>
        <row r="1127">
          <cell r="A1127">
            <v>45638</v>
          </cell>
          <cell r="B1127">
            <v>2024003062</v>
          </cell>
          <cell r="C1127" t="str">
            <v>950-2024</v>
          </cell>
          <cell r="D1127">
            <v>2500000</v>
          </cell>
          <cell r="E1127">
            <v>37082480</v>
          </cell>
          <cell r="F1127" t="str">
            <v>ANDREA  LEONIZA IPIALES SOLARTE</v>
          </cell>
        </row>
        <row r="1128">
          <cell r="A1128">
            <v>45638</v>
          </cell>
          <cell r="B1128">
            <v>2024003063</v>
          </cell>
          <cell r="C1128" t="str">
            <v>654-2024</v>
          </cell>
          <cell r="D1128">
            <v>4825000</v>
          </cell>
          <cell r="E1128">
            <v>87062845</v>
          </cell>
          <cell r="F1128" t="str">
            <v>EDMER LEONARDO RUALES AYALA</v>
          </cell>
        </row>
        <row r="1129">
          <cell r="A1129">
            <v>45638</v>
          </cell>
          <cell r="B1129">
            <v>2024003064</v>
          </cell>
          <cell r="C1129" t="str">
            <v>670-2024</v>
          </cell>
          <cell r="D1129">
            <v>6000000</v>
          </cell>
          <cell r="E1129">
            <v>1085337232</v>
          </cell>
          <cell r="F1129" t="str">
            <v>JHON SEBASTIAN NARVAEZ DEJOY</v>
          </cell>
        </row>
        <row r="1130">
          <cell r="A1130">
            <v>45638</v>
          </cell>
          <cell r="B1130">
            <v>2024003065</v>
          </cell>
          <cell r="C1130" t="str">
            <v>828-2024</v>
          </cell>
          <cell r="D1130">
            <v>2500000</v>
          </cell>
          <cell r="E1130">
            <v>27090145</v>
          </cell>
          <cell r="F1130" t="str">
            <v>SANDRA PAOLA ROMO JURADO</v>
          </cell>
        </row>
        <row r="1131">
          <cell r="A1131">
            <v>45638</v>
          </cell>
          <cell r="B1131">
            <v>2024003066</v>
          </cell>
          <cell r="C1131" t="str">
            <v>656-2024</v>
          </cell>
          <cell r="D1131">
            <v>7540000</v>
          </cell>
          <cell r="E1131">
            <v>1085335767</v>
          </cell>
          <cell r="F1131" t="str">
            <v>LEIDY CRISTINA RODRÌGUEZ LÓPEZ</v>
          </cell>
        </row>
        <row r="1132">
          <cell r="A1132">
            <v>45638</v>
          </cell>
          <cell r="B1132">
            <v>2024003067</v>
          </cell>
          <cell r="C1132" t="str">
            <v>690-2024</v>
          </cell>
          <cell r="D1132">
            <v>6000000</v>
          </cell>
          <cell r="E1132">
            <v>27097289</v>
          </cell>
          <cell r="F1132" t="str">
            <v>BLANCA MELVA GAVIRIA BRAVO</v>
          </cell>
        </row>
        <row r="1133">
          <cell r="A1133">
            <v>45638</v>
          </cell>
          <cell r="B1133">
            <v>2024003068</v>
          </cell>
          <cell r="C1133" t="str">
            <v>841-2024</v>
          </cell>
          <cell r="D1133">
            <v>4825000</v>
          </cell>
          <cell r="E1133">
            <v>1085291221</v>
          </cell>
          <cell r="F1133" t="str">
            <v>ELIZABETH ALEJANDRA TOBAR MORAN</v>
          </cell>
        </row>
        <row r="1134">
          <cell r="A1134">
            <v>45638</v>
          </cell>
          <cell r="B1134">
            <v>2024003069</v>
          </cell>
          <cell r="C1134" t="str">
            <v>799-2024</v>
          </cell>
          <cell r="D1134">
            <v>3000000</v>
          </cell>
          <cell r="E1134">
            <v>1085331508</v>
          </cell>
          <cell r="F1134" t="str">
            <v>NESLY YANID MUÑOZ ORTÍZ</v>
          </cell>
        </row>
        <row r="1135">
          <cell r="A1135">
            <v>45638</v>
          </cell>
          <cell r="B1135">
            <v>2024003070</v>
          </cell>
          <cell r="C1135" t="str">
            <v>655-2024</v>
          </cell>
          <cell r="D1135">
            <v>7540000</v>
          </cell>
          <cell r="E1135">
            <v>1151934571</v>
          </cell>
          <cell r="F1135" t="str">
            <v>ANGELA MARCELA OBANDO BASTIDAS</v>
          </cell>
        </row>
        <row r="1136">
          <cell r="A1136">
            <v>45638</v>
          </cell>
          <cell r="B1136">
            <v>2024003071</v>
          </cell>
          <cell r="C1136" t="str">
            <v>1026-2024</v>
          </cell>
          <cell r="D1136">
            <v>2733600</v>
          </cell>
          <cell r="E1136">
            <v>59835376</v>
          </cell>
          <cell r="F1136" t="str">
            <v>MONICA ALEXANDRA ORTIZ CABRERA</v>
          </cell>
        </row>
        <row r="1137">
          <cell r="A1137">
            <v>45638</v>
          </cell>
          <cell r="B1137">
            <v>2024003072</v>
          </cell>
          <cell r="C1137" t="str">
            <v>795-2024</v>
          </cell>
          <cell r="D1137">
            <v>3000000</v>
          </cell>
          <cell r="E1137">
            <v>27285974</v>
          </cell>
          <cell r="F1137" t="str">
            <v>LUZDARI  JARAMILLO NOGUERA</v>
          </cell>
        </row>
        <row r="1138">
          <cell r="A1138">
            <v>45638</v>
          </cell>
          <cell r="B1138">
            <v>2024003078</v>
          </cell>
          <cell r="C1138" t="str">
            <v>984-2024</v>
          </cell>
          <cell r="D1138">
            <v>3000000</v>
          </cell>
          <cell r="E1138">
            <v>1086222977</v>
          </cell>
          <cell r="F1138" t="str">
            <v>LEIDY JOHANA MERA CONDE</v>
          </cell>
        </row>
        <row r="1139">
          <cell r="A1139">
            <v>45638</v>
          </cell>
          <cell r="B1139">
            <v>2024003079</v>
          </cell>
          <cell r="C1139" t="str">
            <v>755-2024</v>
          </cell>
          <cell r="D1139">
            <v>2500000</v>
          </cell>
          <cell r="E1139">
            <v>12974849</v>
          </cell>
          <cell r="F1139" t="str">
            <v>PABLO ERNESTO RIOBAMBA IPIALES</v>
          </cell>
        </row>
        <row r="1140">
          <cell r="A1140">
            <v>45638</v>
          </cell>
          <cell r="B1140">
            <v>2024003080</v>
          </cell>
          <cell r="C1140" t="str">
            <v>1015-2024</v>
          </cell>
          <cell r="D1140">
            <v>3000000</v>
          </cell>
          <cell r="E1140">
            <v>1085255829</v>
          </cell>
          <cell r="F1140" t="str">
            <v xml:space="preserve">JOHANA KATERINE GONZALEZ </v>
          </cell>
        </row>
        <row r="1141">
          <cell r="A1141">
            <v>45638</v>
          </cell>
          <cell r="B1141">
            <v>2024003081</v>
          </cell>
          <cell r="C1141" t="str">
            <v>1045-2024</v>
          </cell>
          <cell r="D1141">
            <v>600000</v>
          </cell>
          <cell r="E1141">
            <v>1085283703</v>
          </cell>
          <cell r="F1141" t="str">
            <v>INGRID ELIZABETH CASTILLO MONCAYO</v>
          </cell>
        </row>
        <row r="1142">
          <cell r="A1142">
            <v>45638</v>
          </cell>
          <cell r="B1142">
            <v>2024003082</v>
          </cell>
          <cell r="C1142" t="str">
            <v>918-2024</v>
          </cell>
          <cell r="D1142">
            <v>3000000</v>
          </cell>
          <cell r="E1142">
            <v>1080046034</v>
          </cell>
          <cell r="F1142" t="str">
            <v>GABRIEL SEBASTIAN MORINELLY ROJAS</v>
          </cell>
        </row>
        <row r="1143">
          <cell r="A1143">
            <v>45638</v>
          </cell>
          <cell r="B1143">
            <v>2024003083</v>
          </cell>
          <cell r="C1143" t="str">
            <v>835-2024</v>
          </cell>
          <cell r="D1143">
            <v>4825000</v>
          </cell>
          <cell r="E1143">
            <v>27088141</v>
          </cell>
          <cell r="F1143" t="str">
            <v>CONSTANZA HAIDY UNIGARRO PAZ</v>
          </cell>
        </row>
        <row r="1144">
          <cell r="A1144">
            <v>45638</v>
          </cell>
          <cell r="B1144">
            <v>2024003084</v>
          </cell>
          <cell r="C1144" t="str">
            <v>824-2024</v>
          </cell>
          <cell r="D1144">
            <v>3000000</v>
          </cell>
          <cell r="E1144">
            <v>1086328142</v>
          </cell>
          <cell r="F1144" t="str">
            <v>ZULY MARINA HIDALGO JOJOA</v>
          </cell>
        </row>
        <row r="1145">
          <cell r="A1145">
            <v>45638</v>
          </cell>
          <cell r="B1145">
            <v>2024003085</v>
          </cell>
          <cell r="C1145" t="str">
            <v>894-2024</v>
          </cell>
          <cell r="D1145">
            <v>3000000</v>
          </cell>
          <cell r="E1145">
            <v>59311295</v>
          </cell>
          <cell r="F1145" t="str">
            <v>BASTIDAS MORA MYRIAM JANNETH</v>
          </cell>
        </row>
        <row r="1146">
          <cell r="A1146">
            <v>45638</v>
          </cell>
          <cell r="B1146">
            <v>2024003086</v>
          </cell>
          <cell r="C1146" t="str">
            <v>911-2024</v>
          </cell>
          <cell r="D1146">
            <v>2500000</v>
          </cell>
          <cell r="E1146">
            <v>1085314075</v>
          </cell>
          <cell r="F1146" t="str">
            <v>LORENA CATERINE ASCUNTAR CUAJIBIOY</v>
          </cell>
        </row>
        <row r="1147">
          <cell r="A1147">
            <v>45638</v>
          </cell>
          <cell r="B1147">
            <v>2024003087</v>
          </cell>
          <cell r="C1147" t="str">
            <v>741-2024</v>
          </cell>
          <cell r="D1147">
            <v>6000000</v>
          </cell>
          <cell r="E1147">
            <v>1082748420</v>
          </cell>
          <cell r="F1147" t="str">
            <v>NATHALIA  ROSERO RODRIGUEZ</v>
          </cell>
        </row>
        <row r="1148">
          <cell r="A1148">
            <v>45638</v>
          </cell>
          <cell r="B1148">
            <v>2024003088</v>
          </cell>
          <cell r="C1148" t="str">
            <v>739-2024</v>
          </cell>
          <cell r="D1148">
            <v>3000000</v>
          </cell>
          <cell r="E1148">
            <v>1085271641</v>
          </cell>
          <cell r="F1148" t="str">
            <v>LISSETH MARISOL CUASTUMAL  CASTRO</v>
          </cell>
        </row>
        <row r="1149">
          <cell r="A1149">
            <v>45638</v>
          </cell>
          <cell r="B1149">
            <v>2024003089</v>
          </cell>
          <cell r="C1149" t="str">
            <v>698-2024</v>
          </cell>
          <cell r="D1149">
            <v>3000000</v>
          </cell>
          <cell r="E1149">
            <v>1004232508</v>
          </cell>
          <cell r="F1149" t="str">
            <v>PABLO JOSÉ BADOS LÒPEZ</v>
          </cell>
        </row>
        <row r="1150">
          <cell r="A1150">
            <v>45638</v>
          </cell>
          <cell r="B1150">
            <v>2024003093</v>
          </cell>
          <cell r="C1150" t="str">
            <v>815-2024</v>
          </cell>
          <cell r="D1150">
            <v>3000000</v>
          </cell>
          <cell r="E1150">
            <v>1193218691</v>
          </cell>
          <cell r="F1150" t="str">
            <v>BRENDA DAYANA TABLA PULISTAR</v>
          </cell>
        </row>
        <row r="1151">
          <cell r="A1151">
            <v>45638</v>
          </cell>
          <cell r="B1151">
            <v>2024003094</v>
          </cell>
          <cell r="C1151" t="str">
            <v>860-2024</v>
          </cell>
          <cell r="D1151">
            <v>3000000</v>
          </cell>
          <cell r="E1151">
            <v>1004299312</v>
          </cell>
          <cell r="F1151" t="str">
            <v>MARIA ALEJANDRA BOTINA DELGADO</v>
          </cell>
        </row>
        <row r="1152">
          <cell r="A1152">
            <v>45638</v>
          </cell>
          <cell r="B1152">
            <v>2024003095</v>
          </cell>
          <cell r="C1152" t="str">
            <v>827-2024</v>
          </cell>
          <cell r="D1152">
            <v>2500000</v>
          </cell>
          <cell r="E1152">
            <v>1081273343</v>
          </cell>
          <cell r="F1152" t="str">
            <v>MARIA FERNANDA VASQUEZ ARGOTI</v>
          </cell>
        </row>
        <row r="1153">
          <cell r="A1153">
            <v>45638</v>
          </cell>
          <cell r="B1153">
            <v>2024003097</v>
          </cell>
          <cell r="C1153" t="str">
            <v>671-2024</v>
          </cell>
          <cell r="D1153">
            <v>7540000</v>
          </cell>
          <cell r="E1153">
            <v>1006946167</v>
          </cell>
          <cell r="F1153" t="str">
            <v>LIZETH MARCELA ORTÌZ MUÑOZ</v>
          </cell>
        </row>
        <row r="1154">
          <cell r="A1154">
            <v>45638</v>
          </cell>
          <cell r="B1154">
            <v>2024003098</v>
          </cell>
          <cell r="C1154" t="str">
            <v>717-2024</v>
          </cell>
          <cell r="D1154">
            <v>4750000</v>
          </cell>
          <cell r="E1154">
            <v>1085324546</v>
          </cell>
          <cell r="F1154" t="str">
            <v>ERIKA PAOLA ESTRADA  BURBANO</v>
          </cell>
        </row>
        <row r="1155">
          <cell r="A1155">
            <v>45638</v>
          </cell>
          <cell r="B1155">
            <v>2024003099</v>
          </cell>
          <cell r="C1155" t="str">
            <v>814-2024</v>
          </cell>
          <cell r="D1155">
            <v>4825000</v>
          </cell>
          <cell r="E1155">
            <v>1085269530</v>
          </cell>
          <cell r="F1155" t="str">
            <v xml:space="preserve">CLARA MARIA ACOSTA </v>
          </cell>
        </row>
        <row r="1156">
          <cell r="A1156">
            <v>45638</v>
          </cell>
          <cell r="B1156">
            <v>2024003101</v>
          </cell>
          <cell r="C1156" t="str">
            <v>714-2024</v>
          </cell>
          <cell r="D1156">
            <v>3000000</v>
          </cell>
          <cell r="E1156">
            <v>59314601</v>
          </cell>
          <cell r="F1156" t="str">
            <v>CAROL VIVIANA RODRIGUEZ  CARDENAS</v>
          </cell>
        </row>
        <row r="1157">
          <cell r="A1157">
            <v>45638</v>
          </cell>
          <cell r="B1157">
            <v>2024003102</v>
          </cell>
          <cell r="C1157" t="str">
            <v>730-2024</v>
          </cell>
          <cell r="D1157">
            <v>3000000</v>
          </cell>
          <cell r="E1157">
            <v>1192717330</v>
          </cell>
          <cell r="F1157" t="str">
            <v>CRISTIAN FABIAN CRIOLLO RIVERA</v>
          </cell>
        </row>
        <row r="1158">
          <cell r="A1158">
            <v>45638</v>
          </cell>
          <cell r="B1158">
            <v>2024003103</v>
          </cell>
          <cell r="C1158" t="str">
            <v>789-2024</v>
          </cell>
          <cell r="D1158">
            <v>7540000</v>
          </cell>
          <cell r="E1158">
            <v>36950112</v>
          </cell>
          <cell r="F1158" t="str">
            <v>MUÑOZ CORDOBA PATRICIA</v>
          </cell>
        </row>
        <row r="1159">
          <cell r="A1159">
            <v>45638</v>
          </cell>
          <cell r="B1159">
            <v>2024003104</v>
          </cell>
          <cell r="C1159" t="str">
            <v>715-2024</v>
          </cell>
          <cell r="D1159">
            <v>3000000</v>
          </cell>
          <cell r="E1159">
            <v>36758143</v>
          </cell>
          <cell r="F1159" t="str">
            <v>LUCERITO DEL CARMEN REVELO BENAVIDES</v>
          </cell>
        </row>
        <row r="1160">
          <cell r="A1160">
            <v>45638</v>
          </cell>
          <cell r="B1160">
            <v>2024003105</v>
          </cell>
          <cell r="C1160" t="str">
            <v>840-2024</v>
          </cell>
          <cell r="D1160">
            <v>3000000</v>
          </cell>
          <cell r="E1160">
            <v>1137624011</v>
          </cell>
          <cell r="F1160" t="str">
            <v>KAROL DAYANA TONGUINO TORO</v>
          </cell>
        </row>
        <row r="1161">
          <cell r="A1161">
            <v>45638</v>
          </cell>
          <cell r="B1161">
            <v>2024003106</v>
          </cell>
          <cell r="C1161" t="str">
            <v>685-2024</v>
          </cell>
          <cell r="D1161">
            <v>4750000</v>
          </cell>
          <cell r="E1161">
            <v>1233192618</v>
          </cell>
          <cell r="F1161" t="str">
            <v>KARLA VALERIA AZA  CEPEDA</v>
          </cell>
        </row>
        <row r="1162">
          <cell r="A1162">
            <v>45638</v>
          </cell>
          <cell r="B1162">
            <v>2024003107</v>
          </cell>
          <cell r="C1162" t="str">
            <v>653-2024</v>
          </cell>
          <cell r="D1162">
            <v>7540000</v>
          </cell>
          <cell r="E1162">
            <v>1085321192</v>
          </cell>
          <cell r="F1162" t="str">
            <v>BRAYAN ANTONIO MADROÑERO QUINTERO</v>
          </cell>
        </row>
        <row r="1163">
          <cell r="A1163">
            <v>45638</v>
          </cell>
          <cell r="B1163">
            <v>2024003108</v>
          </cell>
          <cell r="C1163" t="str">
            <v>661-2024</v>
          </cell>
          <cell r="D1163">
            <v>7540000</v>
          </cell>
          <cell r="E1163">
            <v>1085345430</v>
          </cell>
          <cell r="F1163" t="str">
            <v>MARIA CAMILA PAZ ARCOS</v>
          </cell>
        </row>
        <row r="1164">
          <cell r="A1164">
            <v>45638</v>
          </cell>
          <cell r="B1164">
            <v>2024003109</v>
          </cell>
          <cell r="C1164" t="str">
            <v>898-2024</v>
          </cell>
          <cell r="D1164">
            <v>4750000</v>
          </cell>
          <cell r="E1164">
            <v>27087475</v>
          </cell>
          <cell r="F1164" t="str">
            <v>JANETH EMILSE DIAZ  ARCINIEGAS</v>
          </cell>
        </row>
        <row r="1165">
          <cell r="A1165">
            <v>45638</v>
          </cell>
          <cell r="B1165">
            <v>2024003110</v>
          </cell>
          <cell r="C1165" t="str">
            <v>681-2024</v>
          </cell>
          <cell r="D1165">
            <v>6000000</v>
          </cell>
          <cell r="E1165">
            <v>1085246134</v>
          </cell>
          <cell r="F1165" t="str">
            <v>DIANA CAROLINA ROSERO CONCHA</v>
          </cell>
        </row>
        <row r="1166">
          <cell r="A1166">
            <v>45638</v>
          </cell>
          <cell r="B1166">
            <v>2024003111</v>
          </cell>
          <cell r="C1166" t="str">
            <v>686-2024</v>
          </cell>
          <cell r="D1166">
            <v>4750000</v>
          </cell>
          <cell r="E1166">
            <v>59312865</v>
          </cell>
          <cell r="F1166" t="str">
            <v>DIANA CAROLINA CORTES TAPIA</v>
          </cell>
        </row>
        <row r="1167">
          <cell r="A1167">
            <v>45638</v>
          </cell>
          <cell r="B1167">
            <v>2024003112</v>
          </cell>
          <cell r="C1167" t="str">
            <v>820-2024</v>
          </cell>
          <cell r="D1167">
            <v>6000000</v>
          </cell>
          <cell r="E1167">
            <v>1193223736</v>
          </cell>
          <cell r="F1167" t="str">
            <v>EMILY  ROMERO MENDOZA</v>
          </cell>
        </row>
        <row r="1168">
          <cell r="A1168">
            <v>45638</v>
          </cell>
          <cell r="B1168">
            <v>2024003113</v>
          </cell>
          <cell r="C1168" t="str">
            <v>688-2024</v>
          </cell>
          <cell r="D1168">
            <v>6000000</v>
          </cell>
          <cell r="E1168">
            <v>37013610</v>
          </cell>
          <cell r="F1168" t="str">
            <v>MARIA  IDER CASANOVA BURBANO</v>
          </cell>
        </row>
        <row r="1169">
          <cell r="A1169">
            <v>45638</v>
          </cell>
          <cell r="B1169">
            <v>2024003114</v>
          </cell>
          <cell r="C1169" t="str">
            <v>737-2024</v>
          </cell>
          <cell r="D1169">
            <v>4825000</v>
          </cell>
          <cell r="E1169">
            <v>1085321943</v>
          </cell>
          <cell r="F1169" t="str">
            <v>MARIA FERNANDA INGUILAN CARRERA</v>
          </cell>
        </row>
        <row r="1170">
          <cell r="A1170">
            <v>45638</v>
          </cell>
          <cell r="B1170">
            <v>2024003115</v>
          </cell>
          <cell r="C1170" t="str">
            <v>923-2024</v>
          </cell>
          <cell r="D1170">
            <v>6000000</v>
          </cell>
          <cell r="E1170">
            <v>1085248939</v>
          </cell>
          <cell r="F1170" t="str">
            <v>CARMEN LILIANA ARMERO RUIZ</v>
          </cell>
        </row>
        <row r="1171">
          <cell r="A1171">
            <v>45638</v>
          </cell>
          <cell r="B1171">
            <v>2024003116</v>
          </cell>
          <cell r="C1171" t="str">
            <v>667-2024</v>
          </cell>
          <cell r="D1171">
            <v>6000000</v>
          </cell>
          <cell r="E1171">
            <v>59820414</v>
          </cell>
          <cell r="F1171" t="str">
            <v>CORDOBA ARTEAGA CARMEN PATRICIA</v>
          </cell>
        </row>
        <row r="1172">
          <cell r="A1172">
            <v>45638</v>
          </cell>
          <cell r="B1172">
            <v>2024003117</v>
          </cell>
          <cell r="C1172" t="str">
            <v>968-2024</v>
          </cell>
          <cell r="D1172">
            <v>2500000</v>
          </cell>
          <cell r="E1172">
            <v>59821968</v>
          </cell>
          <cell r="F1172" t="str">
            <v>MARIA  VICTORIA TABLA  MARTINEZ</v>
          </cell>
        </row>
        <row r="1173">
          <cell r="A1173">
            <v>45638</v>
          </cell>
          <cell r="B1173">
            <v>2024003118</v>
          </cell>
          <cell r="C1173" t="str">
            <v>753-2024</v>
          </cell>
          <cell r="D1173">
            <v>3000000</v>
          </cell>
          <cell r="E1173">
            <v>59310524</v>
          </cell>
          <cell r="F1173" t="str">
            <v>MARIBEL DEL CARMEN MAIGUAL MUÑOZ</v>
          </cell>
        </row>
        <row r="1174">
          <cell r="A1174">
            <v>45639</v>
          </cell>
          <cell r="B1174">
            <v>2024003120</v>
          </cell>
          <cell r="C1174" t="str">
            <v>917-2024</v>
          </cell>
          <cell r="D1174">
            <v>2500000</v>
          </cell>
          <cell r="E1174">
            <v>27094521</v>
          </cell>
          <cell r="F1174" t="str">
            <v>RUTH JACQUELINE GAMEZ PABON</v>
          </cell>
        </row>
        <row r="1175">
          <cell r="A1175">
            <v>45639</v>
          </cell>
          <cell r="B1175">
            <v>2024003121</v>
          </cell>
          <cell r="C1175" t="str">
            <v>705-2024</v>
          </cell>
          <cell r="D1175">
            <v>3000000</v>
          </cell>
          <cell r="E1175">
            <v>1004508436</v>
          </cell>
          <cell r="F1175" t="str">
            <v>VALERIA FERNANDA CUASQUER CANTUCA</v>
          </cell>
        </row>
        <row r="1176">
          <cell r="A1176">
            <v>45639</v>
          </cell>
          <cell r="B1176">
            <v>2024003122</v>
          </cell>
          <cell r="C1176" t="str">
            <v>1031-2024</v>
          </cell>
          <cell r="D1176">
            <v>1416100</v>
          </cell>
          <cell r="E1176">
            <v>1085312811</v>
          </cell>
          <cell r="F1176" t="str">
            <v>NELCY VICTORIA GUSTIN FAJARDO</v>
          </cell>
        </row>
        <row r="1177">
          <cell r="A1177">
            <v>45639</v>
          </cell>
          <cell r="B1177">
            <v>2024003123</v>
          </cell>
          <cell r="C1177" t="str">
            <v>733-2024</v>
          </cell>
          <cell r="D1177">
            <v>3000000</v>
          </cell>
          <cell r="E1177">
            <v>1085290651</v>
          </cell>
          <cell r="F1177" t="str">
            <v>INDIRA TAMARA PALACIOS BUSTOS</v>
          </cell>
        </row>
        <row r="1178">
          <cell r="A1178">
            <v>45639</v>
          </cell>
          <cell r="B1178">
            <v>2024003124</v>
          </cell>
          <cell r="C1178" t="str">
            <v>830-2024</v>
          </cell>
          <cell r="D1178">
            <v>3000000</v>
          </cell>
          <cell r="E1178">
            <v>98391531</v>
          </cell>
          <cell r="F1178" t="str">
            <v>HECTOR GERMAN OJEDA CERON</v>
          </cell>
        </row>
        <row r="1179">
          <cell r="A1179">
            <v>45639</v>
          </cell>
          <cell r="B1179">
            <v>2024003125</v>
          </cell>
          <cell r="C1179" t="str">
            <v>986-2024</v>
          </cell>
          <cell r="D1179">
            <v>4750000</v>
          </cell>
          <cell r="E1179">
            <v>1085264667</v>
          </cell>
          <cell r="F1179" t="str">
            <v>DANNY ALEXANDER SANCHEZ ESTRADA</v>
          </cell>
        </row>
        <row r="1180">
          <cell r="A1180">
            <v>45639</v>
          </cell>
          <cell r="B1180">
            <v>2024003126</v>
          </cell>
          <cell r="C1180" t="str">
            <v>987-2024</v>
          </cell>
          <cell r="D1180">
            <v>2500000</v>
          </cell>
          <cell r="E1180">
            <v>1085318898</v>
          </cell>
          <cell r="F1180" t="str">
            <v>TANIA MARCELA DIAZ DIAZ</v>
          </cell>
        </row>
        <row r="1181">
          <cell r="A1181">
            <v>45639</v>
          </cell>
          <cell r="B1181">
            <v>2024003127</v>
          </cell>
          <cell r="C1181" t="str">
            <v>1048-2024</v>
          </cell>
          <cell r="D1181">
            <v>600000</v>
          </cell>
          <cell r="E1181">
            <v>59313539</v>
          </cell>
          <cell r="F1181" t="str">
            <v xml:space="preserve">DIANA FERNANDA ORDOÑEZ </v>
          </cell>
        </row>
        <row r="1182">
          <cell r="A1182">
            <v>45639</v>
          </cell>
          <cell r="B1182">
            <v>2024003128</v>
          </cell>
          <cell r="C1182" t="str">
            <v>804-2024</v>
          </cell>
          <cell r="D1182">
            <v>3000000</v>
          </cell>
          <cell r="E1182">
            <v>1081053820</v>
          </cell>
          <cell r="F1182" t="str">
            <v>ANDREA  CATALINA CUASTUMAL ESCOBAR</v>
          </cell>
        </row>
        <row r="1183">
          <cell r="A1183">
            <v>45639</v>
          </cell>
          <cell r="B1183">
            <v>2024003129</v>
          </cell>
          <cell r="C1183" t="str">
            <v>963-2024</v>
          </cell>
          <cell r="D1183">
            <v>3000000</v>
          </cell>
          <cell r="E1183">
            <v>1085315209</v>
          </cell>
          <cell r="F1183" t="str">
            <v>ANGIE ALEXANDRA MORILLO PANTOJA</v>
          </cell>
        </row>
        <row r="1184">
          <cell r="A1184">
            <v>45639</v>
          </cell>
          <cell r="B1184">
            <v>2024003130</v>
          </cell>
          <cell r="C1184" t="str">
            <v>951-2024</v>
          </cell>
          <cell r="D1184">
            <v>2500000</v>
          </cell>
          <cell r="E1184">
            <v>1131085946</v>
          </cell>
          <cell r="F1184" t="str">
            <v>JESSICA CAROLINA BENAVIDES GENOY</v>
          </cell>
        </row>
        <row r="1185">
          <cell r="A1185">
            <v>45639</v>
          </cell>
          <cell r="B1185">
            <v>2024003131</v>
          </cell>
          <cell r="C1185" t="str">
            <v>1043-2024</v>
          </cell>
          <cell r="D1185">
            <v>1082900</v>
          </cell>
          <cell r="E1185">
            <v>36951530</v>
          </cell>
          <cell r="F1185" t="str">
            <v>JIMENEZ CRIOLLO BICKE MARIBEL</v>
          </cell>
        </row>
        <row r="1186">
          <cell r="A1186">
            <v>45639</v>
          </cell>
          <cell r="B1186">
            <v>2024003132</v>
          </cell>
          <cell r="C1186" t="str">
            <v>794-2024</v>
          </cell>
          <cell r="D1186">
            <v>3000000</v>
          </cell>
          <cell r="E1186">
            <v>1010085543</v>
          </cell>
          <cell r="F1186" t="str">
            <v>DANIELA VANESA MONTANCHEZ GOMAJOA</v>
          </cell>
        </row>
        <row r="1187">
          <cell r="A1187">
            <v>45639</v>
          </cell>
          <cell r="B1187">
            <v>2024003134</v>
          </cell>
          <cell r="C1187" t="str">
            <v>873-2024</v>
          </cell>
          <cell r="D1187">
            <v>3000000</v>
          </cell>
          <cell r="E1187">
            <v>1193265360</v>
          </cell>
          <cell r="F1187" t="str">
            <v>ADRIANA SOFIA ISANDARA NUPAN</v>
          </cell>
        </row>
        <row r="1188">
          <cell r="A1188">
            <v>45639</v>
          </cell>
          <cell r="B1188">
            <v>2024003135</v>
          </cell>
          <cell r="C1188" t="str">
            <v>865-2024</v>
          </cell>
          <cell r="D1188">
            <v>3000000</v>
          </cell>
          <cell r="E1188">
            <v>1081276146</v>
          </cell>
          <cell r="F1188" t="str">
            <v>LUISA FERNANDA MELO HIGIDIO</v>
          </cell>
        </row>
        <row r="1189">
          <cell r="A1189">
            <v>45639</v>
          </cell>
          <cell r="B1189">
            <v>2024003136</v>
          </cell>
          <cell r="C1189" t="str">
            <v>881-2024</v>
          </cell>
          <cell r="D1189">
            <v>6000000</v>
          </cell>
          <cell r="E1189">
            <v>1085254153</v>
          </cell>
          <cell r="F1189" t="str">
            <v>LISETH ELIANA BENAVIDES ARCOS</v>
          </cell>
        </row>
        <row r="1190">
          <cell r="A1190">
            <v>45639</v>
          </cell>
          <cell r="B1190">
            <v>2024003138</v>
          </cell>
          <cell r="C1190" t="str">
            <v>843-2024</v>
          </cell>
          <cell r="D1190">
            <v>3000000</v>
          </cell>
          <cell r="E1190">
            <v>59813323</v>
          </cell>
          <cell r="F1190" t="str">
            <v>GARCIA JOJOA EDITH CRISTINA</v>
          </cell>
        </row>
        <row r="1191">
          <cell r="A1191">
            <v>45639</v>
          </cell>
          <cell r="B1191">
            <v>2024003139</v>
          </cell>
          <cell r="C1191" t="str">
            <v>687-2024</v>
          </cell>
          <cell r="D1191">
            <v>4750000</v>
          </cell>
          <cell r="E1191">
            <v>1085303067</v>
          </cell>
          <cell r="F1191" t="str">
            <v>CINDY ESTEFANIA GONZALES DEL CASTILLO</v>
          </cell>
        </row>
        <row r="1192">
          <cell r="A1192">
            <v>45639</v>
          </cell>
          <cell r="B1192">
            <v>2024003140</v>
          </cell>
          <cell r="C1192" t="str">
            <v>956-2024</v>
          </cell>
          <cell r="D1192">
            <v>3000000</v>
          </cell>
          <cell r="E1192">
            <v>1089846829</v>
          </cell>
          <cell r="F1192" t="str">
            <v>LUZ ADRIANA CERON BASANTE</v>
          </cell>
        </row>
        <row r="1193">
          <cell r="A1193">
            <v>45639</v>
          </cell>
          <cell r="B1193">
            <v>2024003141</v>
          </cell>
          <cell r="C1193" t="str">
            <v>949-2024</v>
          </cell>
          <cell r="D1193">
            <v>2500000</v>
          </cell>
          <cell r="E1193">
            <v>1085335069</v>
          </cell>
          <cell r="F1193" t="str">
            <v>CARINA DEL CARMEN PASICHANA YAQUENO</v>
          </cell>
        </row>
        <row r="1194">
          <cell r="A1194">
            <v>45639</v>
          </cell>
          <cell r="B1194">
            <v>2024003142</v>
          </cell>
          <cell r="C1194" t="str">
            <v>803-2024</v>
          </cell>
          <cell r="D1194">
            <v>3000000</v>
          </cell>
          <cell r="E1194">
            <v>1144206777</v>
          </cell>
          <cell r="F1194" t="str">
            <v>BRYAN ANDRES BASTIDAS RUALES</v>
          </cell>
        </row>
        <row r="1195">
          <cell r="A1195">
            <v>45639</v>
          </cell>
          <cell r="B1195">
            <v>2024003144</v>
          </cell>
          <cell r="C1195" t="str">
            <v>798-2024</v>
          </cell>
          <cell r="D1195">
            <v>3000000</v>
          </cell>
          <cell r="E1195">
            <v>1085325325</v>
          </cell>
          <cell r="F1195" t="str">
            <v>AYDA ISABEL MATABANCHOY BENAVIDES</v>
          </cell>
        </row>
        <row r="1196">
          <cell r="A1196">
            <v>45639</v>
          </cell>
          <cell r="B1196">
            <v>2024003145</v>
          </cell>
          <cell r="C1196" t="str">
            <v>969-2024</v>
          </cell>
          <cell r="D1196">
            <v>6000000</v>
          </cell>
          <cell r="E1196">
            <v>59825948</v>
          </cell>
          <cell r="F1196" t="str">
            <v xml:space="preserve">CALVACHE MARTINEZ CLAUDIA LUCY   </v>
          </cell>
        </row>
        <row r="1197">
          <cell r="A1197">
            <v>45639</v>
          </cell>
          <cell r="B1197">
            <v>2024003146</v>
          </cell>
          <cell r="C1197" t="str">
            <v>1029-2024</v>
          </cell>
          <cell r="D1197">
            <v>1416100</v>
          </cell>
          <cell r="E1197">
            <v>36754171</v>
          </cell>
          <cell r="F1197" t="str">
            <v>SONIA PATRICIA ERAZO RIVERA</v>
          </cell>
        </row>
        <row r="1198">
          <cell r="A1198">
            <v>45639</v>
          </cell>
          <cell r="B1198">
            <v>2024003147</v>
          </cell>
          <cell r="C1198" t="str">
            <v>834-2024</v>
          </cell>
          <cell r="D1198">
            <v>3000000</v>
          </cell>
          <cell r="E1198">
            <v>69028150</v>
          </cell>
          <cell r="F1198" t="str">
            <v>LYNN JANINA ORTIZ PAZ</v>
          </cell>
        </row>
        <row r="1199">
          <cell r="A1199">
            <v>45639</v>
          </cell>
          <cell r="B1199">
            <v>2024003148</v>
          </cell>
          <cell r="C1199" t="str">
            <v>1000-2024</v>
          </cell>
          <cell r="D1199">
            <v>3000000</v>
          </cell>
          <cell r="E1199">
            <v>1085265947</v>
          </cell>
          <cell r="F1199" t="str">
            <v>TIMANA MAIGUAL MARCELA JAZMIN</v>
          </cell>
        </row>
        <row r="1200">
          <cell r="A1200">
            <v>45639</v>
          </cell>
          <cell r="B1200">
            <v>2024003149</v>
          </cell>
          <cell r="C1200" t="str">
            <v>807-2024</v>
          </cell>
          <cell r="D1200">
            <v>3000000</v>
          </cell>
          <cell r="E1200">
            <v>1004131976</v>
          </cell>
          <cell r="F1200" t="str">
            <v>LUISA CAROLINA SANTACRUZ SANTACRUZ</v>
          </cell>
        </row>
        <row r="1201">
          <cell r="A1201">
            <v>45639</v>
          </cell>
          <cell r="B1201">
            <v>2024003150</v>
          </cell>
          <cell r="C1201" t="str">
            <v>997-2024</v>
          </cell>
          <cell r="D1201">
            <v>4825000</v>
          </cell>
          <cell r="E1201">
            <v>1085289539</v>
          </cell>
          <cell r="F1201" t="str">
            <v>DEISY YOLANDA ADARMES MUÑOZ</v>
          </cell>
        </row>
        <row r="1202">
          <cell r="A1202">
            <v>45639</v>
          </cell>
          <cell r="B1202">
            <v>2024003151</v>
          </cell>
          <cell r="C1202" t="str">
            <v>706-2024</v>
          </cell>
          <cell r="D1202">
            <v>3000000</v>
          </cell>
          <cell r="E1202">
            <v>36757213</v>
          </cell>
          <cell r="F1202" t="str">
            <v>MONICA DEL ROCIO ERAZO RUIZ</v>
          </cell>
        </row>
        <row r="1203">
          <cell r="A1203">
            <v>45639</v>
          </cell>
          <cell r="B1203">
            <v>2024003152</v>
          </cell>
          <cell r="C1203" t="str">
            <v>633-2024</v>
          </cell>
          <cell r="D1203">
            <v>4750000</v>
          </cell>
          <cell r="E1203">
            <v>59821282</v>
          </cell>
          <cell r="F1203" t="str">
            <v>XIMENA DEL ROSARIO LOPEZ MAYA</v>
          </cell>
        </row>
        <row r="1204">
          <cell r="A1204">
            <v>45639</v>
          </cell>
          <cell r="B1204">
            <v>2024003153</v>
          </cell>
          <cell r="C1204" t="str">
            <v>709-2024</v>
          </cell>
          <cell r="D1204">
            <v>4750000</v>
          </cell>
          <cell r="E1204">
            <v>1193383306</v>
          </cell>
          <cell r="F1204" t="str">
            <v>MARIA  DE LOS ANGELES ACOSTA ROSERO</v>
          </cell>
        </row>
        <row r="1205">
          <cell r="A1205">
            <v>45639</v>
          </cell>
          <cell r="B1205">
            <v>2024003154</v>
          </cell>
          <cell r="C1205" t="str">
            <v>838-2024</v>
          </cell>
          <cell r="D1205">
            <v>2500000</v>
          </cell>
          <cell r="E1205">
            <v>1085337465</v>
          </cell>
          <cell r="F1205" t="str">
            <v>LESLY NATHALIA MAIGUAL JURADO</v>
          </cell>
        </row>
        <row r="1206">
          <cell r="A1206">
            <v>45639</v>
          </cell>
          <cell r="B1206">
            <v>2024003155</v>
          </cell>
          <cell r="C1206" t="str">
            <v>765-2024</v>
          </cell>
          <cell r="D1206">
            <v>3000000</v>
          </cell>
          <cell r="E1206">
            <v>59178610</v>
          </cell>
          <cell r="F1206" t="str">
            <v>MONICA PATRICIA PANTOJA DUEÑAS</v>
          </cell>
        </row>
        <row r="1207">
          <cell r="A1207">
            <v>45639</v>
          </cell>
          <cell r="B1207">
            <v>2024003156</v>
          </cell>
          <cell r="C1207" t="str">
            <v>697-2024</v>
          </cell>
          <cell r="D1207">
            <v>3000000</v>
          </cell>
          <cell r="E1207">
            <v>36954407</v>
          </cell>
          <cell r="F1207" t="str">
            <v>PAOLA VIVIANA HIDALGO MARCILLO</v>
          </cell>
        </row>
        <row r="1208">
          <cell r="A1208">
            <v>45639</v>
          </cell>
          <cell r="B1208">
            <v>2024003157</v>
          </cell>
          <cell r="C1208" t="str">
            <v>833-2024</v>
          </cell>
          <cell r="D1208">
            <v>3000000</v>
          </cell>
          <cell r="E1208">
            <v>27082649</v>
          </cell>
          <cell r="F1208" t="str">
            <v xml:space="preserve">PATRICIA MARIBEL MARTINEZ </v>
          </cell>
        </row>
        <row r="1209">
          <cell r="A1209">
            <v>45639</v>
          </cell>
          <cell r="B1209">
            <v>2024003158</v>
          </cell>
          <cell r="C1209" t="str">
            <v>853-2024</v>
          </cell>
          <cell r="D1209">
            <v>7540000</v>
          </cell>
          <cell r="E1209">
            <v>1085296958</v>
          </cell>
          <cell r="F1209" t="str">
            <v>MARIO ALEXANDER MENA RODRIGUEZ</v>
          </cell>
        </row>
        <row r="1210">
          <cell r="A1210">
            <v>45642</v>
          </cell>
          <cell r="B1210">
            <v>2024003159</v>
          </cell>
          <cell r="C1210" t="str">
            <v>877-2024</v>
          </cell>
          <cell r="D1210">
            <v>4825000</v>
          </cell>
          <cell r="E1210">
            <v>1085332406</v>
          </cell>
          <cell r="F1210" t="str">
            <v>MERCY LORENA SACANAMBUY LOPEZ</v>
          </cell>
        </row>
        <row r="1211">
          <cell r="A1211">
            <v>45642</v>
          </cell>
          <cell r="B1211">
            <v>2024003160</v>
          </cell>
          <cell r="C1211" t="str">
            <v>955-2024</v>
          </cell>
          <cell r="D1211">
            <v>916300</v>
          </cell>
          <cell r="E1211">
            <v>30736949</v>
          </cell>
          <cell r="F1211" t="str">
            <v>LIGIA DEL CARMEN ERAZO GUERRERO</v>
          </cell>
        </row>
        <row r="1212">
          <cell r="A1212">
            <v>45642</v>
          </cell>
          <cell r="B1212">
            <v>2024003161</v>
          </cell>
          <cell r="C1212" t="str">
            <v>955-2024</v>
          </cell>
          <cell r="D1212">
            <v>2500000</v>
          </cell>
          <cell r="E1212">
            <v>30736949</v>
          </cell>
          <cell r="F1212" t="str">
            <v>LIGIA DEL CARMEN ERAZO GUERRERO</v>
          </cell>
        </row>
        <row r="1213">
          <cell r="A1213">
            <v>45642</v>
          </cell>
          <cell r="B1213">
            <v>2024003162</v>
          </cell>
          <cell r="C1213" t="str">
            <v>1053-2024</v>
          </cell>
          <cell r="D1213">
            <v>804000</v>
          </cell>
          <cell r="E1213">
            <v>1080900817</v>
          </cell>
          <cell r="F1213" t="str">
            <v>CLARA INES APRAEZ GOMEZ</v>
          </cell>
        </row>
        <row r="1214">
          <cell r="A1214">
            <v>45642</v>
          </cell>
          <cell r="B1214">
            <v>2024003163</v>
          </cell>
          <cell r="C1214" t="str">
            <v>668-2024</v>
          </cell>
          <cell r="D1214">
            <v>7540000</v>
          </cell>
          <cell r="E1214">
            <v>1193279435</v>
          </cell>
          <cell r="F1214" t="str">
            <v>ANGELA SOFIA ORDOÑEZ BENAVIDES</v>
          </cell>
        </row>
        <row r="1215">
          <cell r="A1215">
            <v>45642</v>
          </cell>
          <cell r="B1215">
            <v>2024003164</v>
          </cell>
          <cell r="C1215" t="str">
            <v>634-2024</v>
          </cell>
          <cell r="D1215">
            <v>7540000</v>
          </cell>
          <cell r="E1215">
            <v>87065647</v>
          </cell>
          <cell r="F1215" t="str">
            <v>JHON JAIME LOPEZ GUERRERO</v>
          </cell>
        </row>
        <row r="1216">
          <cell r="A1216">
            <v>45642</v>
          </cell>
          <cell r="B1216">
            <v>2024003165</v>
          </cell>
          <cell r="C1216" t="str">
            <v>702-2024</v>
          </cell>
          <cell r="D1216">
            <v>7540000</v>
          </cell>
          <cell r="E1216">
            <v>80765093</v>
          </cell>
          <cell r="F1216" t="str">
            <v>FRANCISCO  RAFAEL ORTÍZ BENÌTEZ</v>
          </cell>
        </row>
        <row r="1217">
          <cell r="A1217">
            <v>45642</v>
          </cell>
          <cell r="B1217">
            <v>2024003166</v>
          </cell>
          <cell r="C1217" t="str">
            <v>878-2024</v>
          </cell>
          <cell r="D1217">
            <v>7540000</v>
          </cell>
          <cell r="E1217">
            <v>1233191998</v>
          </cell>
          <cell r="F1217" t="str">
            <v>ANYELI KATHERINE CORAL MORA</v>
          </cell>
        </row>
        <row r="1218">
          <cell r="A1218">
            <v>45642</v>
          </cell>
          <cell r="B1218">
            <v>2024003167</v>
          </cell>
          <cell r="C1218" t="str">
            <v>648-2024</v>
          </cell>
          <cell r="D1218">
            <v>6000000</v>
          </cell>
          <cell r="E1218">
            <v>59837608</v>
          </cell>
          <cell r="F1218" t="str">
            <v>ALBA DENIS ARGOTY SANTACRUZ</v>
          </cell>
        </row>
        <row r="1219">
          <cell r="A1219">
            <v>45642</v>
          </cell>
          <cell r="B1219">
            <v>2024003168</v>
          </cell>
          <cell r="C1219" t="str">
            <v>862-2024</v>
          </cell>
          <cell r="D1219">
            <v>6000000</v>
          </cell>
          <cell r="E1219">
            <v>1085272491</v>
          </cell>
          <cell r="F1219" t="str">
            <v>JESSICA STEFANNY FRANCO ERASO</v>
          </cell>
        </row>
        <row r="1220">
          <cell r="A1220">
            <v>45642</v>
          </cell>
          <cell r="B1220">
            <v>2024003169</v>
          </cell>
          <cell r="C1220" t="str">
            <v>707-2024</v>
          </cell>
          <cell r="D1220">
            <v>4750000</v>
          </cell>
          <cell r="E1220">
            <v>36953206</v>
          </cell>
          <cell r="F1220" t="str">
            <v>NATALIA ANDREA LATORRE RUANO</v>
          </cell>
        </row>
        <row r="1221">
          <cell r="A1221">
            <v>45642</v>
          </cell>
          <cell r="B1221">
            <v>2024003170</v>
          </cell>
          <cell r="C1221" t="str">
            <v>652-2024</v>
          </cell>
          <cell r="D1221">
            <v>6000000</v>
          </cell>
          <cell r="E1221">
            <v>1010010954</v>
          </cell>
          <cell r="F1221" t="str">
            <v>JULIANA VALENTINA MENDEZ ORTÍZ</v>
          </cell>
        </row>
        <row r="1222">
          <cell r="A1222">
            <v>45642</v>
          </cell>
          <cell r="B1222">
            <v>2024003171</v>
          </cell>
          <cell r="C1222" t="str">
            <v>876-2024</v>
          </cell>
          <cell r="D1222">
            <v>3000000</v>
          </cell>
          <cell r="E1222">
            <v>1085330237</v>
          </cell>
          <cell r="F1222" t="str">
            <v>LUZ  MARINA BENAVIDES  BASTIDAS</v>
          </cell>
        </row>
        <row r="1223">
          <cell r="A1223">
            <v>45642</v>
          </cell>
          <cell r="B1223">
            <v>2024003172</v>
          </cell>
          <cell r="C1223" t="str">
            <v>771-2024</v>
          </cell>
          <cell r="D1223">
            <v>3000000</v>
          </cell>
          <cell r="E1223">
            <v>59834953</v>
          </cell>
          <cell r="F1223" t="str">
            <v>PATRICIA YOLANDA PAZ  DELGADO</v>
          </cell>
        </row>
        <row r="1224">
          <cell r="A1224">
            <v>45642</v>
          </cell>
          <cell r="B1224">
            <v>2024003173</v>
          </cell>
          <cell r="C1224" t="str">
            <v>818-2024</v>
          </cell>
          <cell r="D1224">
            <v>4825000</v>
          </cell>
          <cell r="E1224">
            <v>1085337969</v>
          </cell>
          <cell r="F1224" t="str">
            <v>SANTIAGO NICOLAS TULCAN REGALADO</v>
          </cell>
        </row>
        <row r="1225">
          <cell r="A1225">
            <v>45642</v>
          </cell>
          <cell r="B1225">
            <v>2024003174</v>
          </cell>
          <cell r="C1225" t="str">
            <v>897-2024</v>
          </cell>
          <cell r="D1225">
            <v>4750000</v>
          </cell>
          <cell r="E1225">
            <v>1018492767</v>
          </cell>
          <cell r="F1225" t="str">
            <v>LAURA CATALINA MUÑOZ LUNA</v>
          </cell>
        </row>
        <row r="1226">
          <cell r="A1226">
            <v>45642</v>
          </cell>
          <cell r="B1226">
            <v>2024003175</v>
          </cell>
          <cell r="C1226" t="str">
            <v>899-2024</v>
          </cell>
          <cell r="D1226">
            <v>2500000</v>
          </cell>
          <cell r="E1226">
            <v>1081052090</v>
          </cell>
          <cell r="F1226" t="str">
            <v>DIANA CAROLINA TISOY CHASOY</v>
          </cell>
        </row>
        <row r="1227">
          <cell r="A1227">
            <v>45642</v>
          </cell>
          <cell r="B1227">
            <v>2024003176</v>
          </cell>
          <cell r="C1227" t="str">
            <v>1035-2024</v>
          </cell>
          <cell r="D1227">
            <v>1416100</v>
          </cell>
          <cell r="E1227">
            <v>12990231</v>
          </cell>
          <cell r="F1227" t="str">
            <v>EDUARDO  MAURICIO NARVAEZ GUERRA</v>
          </cell>
        </row>
        <row r="1228">
          <cell r="A1228">
            <v>45642</v>
          </cell>
          <cell r="B1228">
            <v>2024003177</v>
          </cell>
          <cell r="C1228" t="str">
            <v>817-2024</v>
          </cell>
          <cell r="D1228">
            <v>4825000</v>
          </cell>
          <cell r="E1228">
            <v>1085283723</v>
          </cell>
          <cell r="F1228" t="str">
            <v>DANIEL  ALEJANDRO ESCOBAR  ANDRADE</v>
          </cell>
        </row>
        <row r="1229">
          <cell r="A1229">
            <v>45642</v>
          </cell>
          <cell r="B1229">
            <v>2024003178</v>
          </cell>
          <cell r="C1229" t="str">
            <v>867-2024</v>
          </cell>
          <cell r="D1229">
            <v>3000000</v>
          </cell>
          <cell r="E1229">
            <v>1080043348</v>
          </cell>
          <cell r="F1229" t="str">
            <v>BRIGITH VANESSA QUENGUAN CALDERON</v>
          </cell>
        </row>
        <row r="1230">
          <cell r="A1230">
            <v>45642</v>
          </cell>
          <cell r="B1230">
            <v>2024003179</v>
          </cell>
          <cell r="C1230" t="str">
            <v>822-2024</v>
          </cell>
          <cell r="D1230">
            <v>4825000</v>
          </cell>
          <cell r="E1230">
            <v>1085273986</v>
          </cell>
          <cell r="F1230" t="str">
            <v>LENY PATRICIA DELGADO BASTIDAS</v>
          </cell>
        </row>
        <row r="1231">
          <cell r="A1231">
            <v>45642</v>
          </cell>
          <cell r="B1231">
            <v>2024003180</v>
          </cell>
          <cell r="C1231" t="str">
            <v>871-2024</v>
          </cell>
          <cell r="D1231">
            <v>3000000</v>
          </cell>
          <cell r="E1231">
            <v>37083086</v>
          </cell>
          <cell r="F1231" t="str">
            <v>KAROL IVONNE BURBANO ROSERO</v>
          </cell>
        </row>
        <row r="1232">
          <cell r="A1232">
            <v>45642</v>
          </cell>
          <cell r="B1232">
            <v>2024003181</v>
          </cell>
          <cell r="C1232" t="str">
            <v>659-2024</v>
          </cell>
          <cell r="D1232">
            <v>4825000</v>
          </cell>
          <cell r="E1232">
            <v>1085338534</v>
          </cell>
          <cell r="F1232" t="str">
            <v>ANA VICTORIA ORTEGA GOMEZ</v>
          </cell>
        </row>
        <row r="1233">
          <cell r="A1233">
            <v>45642</v>
          </cell>
          <cell r="B1233">
            <v>2024003182</v>
          </cell>
          <cell r="C1233" t="str">
            <v>750-2024</v>
          </cell>
          <cell r="D1233">
            <v>3000000</v>
          </cell>
          <cell r="E1233">
            <v>1085326198</v>
          </cell>
          <cell r="F1233" t="str">
            <v>LEIDI YURANI RAMOS CORDOBA</v>
          </cell>
        </row>
        <row r="1234">
          <cell r="A1234">
            <v>45642</v>
          </cell>
          <cell r="B1234">
            <v>2024003183</v>
          </cell>
          <cell r="C1234" t="str">
            <v>791-2024</v>
          </cell>
          <cell r="D1234">
            <v>3000000</v>
          </cell>
          <cell r="E1234">
            <v>1193224810</v>
          </cell>
          <cell r="F1234" t="str">
            <v>EVELYN  FERNANDA ACOSTA CHICAIZA</v>
          </cell>
        </row>
        <row r="1235">
          <cell r="A1235">
            <v>45642</v>
          </cell>
          <cell r="B1235">
            <v>2024003184</v>
          </cell>
          <cell r="C1235" t="str">
            <v>712-2024</v>
          </cell>
          <cell r="D1235">
            <v>6000000</v>
          </cell>
          <cell r="E1235">
            <v>36951002</v>
          </cell>
          <cell r="F1235" t="str">
            <v>NANCY VISITACIÓN CHAMORRO GUAICHAR</v>
          </cell>
        </row>
        <row r="1236">
          <cell r="A1236">
            <v>45642</v>
          </cell>
          <cell r="B1236">
            <v>2024003186</v>
          </cell>
          <cell r="C1236" t="str">
            <v>689-2024</v>
          </cell>
          <cell r="D1236">
            <v>3000000</v>
          </cell>
          <cell r="E1236">
            <v>1004635031</v>
          </cell>
          <cell r="F1236" t="str">
            <v>ASTRID CAROLINA CAICEDO LUNA</v>
          </cell>
        </row>
        <row r="1237">
          <cell r="A1237">
            <v>45642</v>
          </cell>
          <cell r="B1237">
            <v>2024003187</v>
          </cell>
          <cell r="C1237" t="str">
            <v>896-2024</v>
          </cell>
          <cell r="D1237">
            <v>2500000</v>
          </cell>
          <cell r="E1237">
            <v>1081595853</v>
          </cell>
          <cell r="F1237" t="str">
            <v>LICETH NEYIRETH RIVERA ROSERO</v>
          </cell>
        </row>
        <row r="1238">
          <cell r="A1238">
            <v>45642</v>
          </cell>
          <cell r="B1238">
            <v>2024003188</v>
          </cell>
          <cell r="C1238" t="str">
            <v>764-2024</v>
          </cell>
          <cell r="D1238">
            <v>3000000</v>
          </cell>
          <cell r="E1238">
            <v>1004234290</v>
          </cell>
          <cell r="F1238" t="str">
            <v>LAURA  SOFIA ROSERO DAVID</v>
          </cell>
        </row>
        <row r="1239">
          <cell r="A1239">
            <v>45642</v>
          </cell>
          <cell r="B1239">
            <v>2024003189</v>
          </cell>
          <cell r="C1239" t="str">
            <v>749-2024</v>
          </cell>
          <cell r="D1239">
            <v>3000000</v>
          </cell>
          <cell r="E1239">
            <v>1085266584</v>
          </cell>
          <cell r="F1239" t="str">
            <v>MARIA ALEJANDRA BENAVIDES AYALA</v>
          </cell>
        </row>
        <row r="1240">
          <cell r="A1240">
            <v>45642</v>
          </cell>
          <cell r="B1240">
            <v>2024003190</v>
          </cell>
          <cell r="C1240" t="str">
            <v>924-2024</v>
          </cell>
          <cell r="D1240">
            <v>2500000</v>
          </cell>
          <cell r="E1240">
            <v>1085281545</v>
          </cell>
          <cell r="F1240" t="str">
            <v>KARINA ELIZABETH MADROÐERO DELGADO</v>
          </cell>
        </row>
        <row r="1241">
          <cell r="A1241">
            <v>45642</v>
          </cell>
          <cell r="B1241">
            <v>2024003191</v>
          </cell>
          <cell r="C1241" t="str">
            <v>854-2024</v>
          </cell>
          <cell r="D1241">
            <v>3000000</v>
          </cell>
          <cell r="E1241">
            <v>59310433</v>
          </cell>
          <cell r="F1241" t="str">
            <v>ROSERO MIRANDA LEIDY LIZETH</v>
          </cell>
        </row>
        <row r="1242">
          <cell r="A1242">
            <v>45642</v>
          </cell>
          <cell r="B1242">
            <v>2024003192</v>
          </cell>
          <cell r="C1242" t="str">
            <v>1051-2024</v>
          </cell>
          <cell r="D1242">
            <v>804000</v>
          </cell>
          <cell r="E1242">
            <v>1085319572</v>
          </cell>
          <cell r="F1242" t="str">
            <v>MARIA CAMILA ENRIQUEZ GUERRERO</v>
          </cell>
        </row>
        <row r="1243">
          <cell r="A1243">
            <v>45642</v>
          </cell>
          <cell r="B1243">
            <v>2024003193</v>
          </cell>
          <cell r="C1243" t="str">
            <v>770-2024</v>
          </cell>
          <cell r="D1243">
            <v>3000000</v>
          </cell>
          <cell r="E1243">
            <v>1010113730</v>
          </cell>
          <cell r="F1243" t="str">
            <v>DIANA MILENA PAZ NANDAR</v>
          </cell>
        </row>
        <row r="1244">
          <cell r="A1244">
            <v>45642</v>
          </cell>
          <cell r="B1244">
            <v>2024003194</v>
          </cell>
          <cell r="C1244" t="str">
            <v>701-2024</v>
          </cell>
          <cell r="D1244">
            <v>3000000</v>
          </cell>
          <cell r="E1244">
            <v>1085324107</v>
          </cell>
          <cell r="F1244" t="str">
            <v>CAROLINA  NASTACUAS PAI</v>
          </cell>
        </row>
        <row r="1245">
          <cell r="A1245">
            <v>45642</v>
          </cell>
          <cell r="B1245">
            <v>2024003195</v>
          </cell>
          <cell r="C1245" t="str">
            <v>785-2024</v>
          </cell>
          <cell r="D1245">
            <v>2500000</v>
          </cell>
          <cell r="E1245">
            <v>37087268</v>
          </cell>
          <cell r="F1245" t="str">
            <v>ALEXANDRA MARIA ORTEGA ROSERO</v>
          </cell>
        </row>
        <row r="1246">
          <cell r="A1246">
            <v>45642</v>
          </cell>
          <cell r="B1246">
            <v>2024003196</v>
          </cell>
          <cell r="C1246" t="str">
            <v>743-2024</v>
          </cell>
          <cell r="D1246">
            <v>3000000</v>
          </cell>
          <cell r="E1246">
            <v>98382500</v>
          </cell>
          <cell r="F1246" t="str">
            <v>JOSE JAVIER PINTA YAQUENO</v>
          </cell>
        </row>
        <row r="1247">
          <cell r="A1247">
            <v>45642</v>
          </cell>
          <cell r="B1247">
            <v>2024003198</v>
          </cell>
          <cell r="C1247" t="str">
            <v>912-2024</v>
          </cell>
          <cell r="D1247">
            <v>7540000</v>
          </cell>
          <cell r="E1247">
            <v>1233192708</v>
          </cell>
          <cell r="F1247" t="str">
            <v>DIANA SOFIA PANTOJA RUANO</v>
          </cell>
        </row>
        <row r="1248">
          <cell r="A1248">
            <v>45642</v>
          </cell>
          <cell r="B1248">
            <v>2024003199</v>
          </cell>
          <cell r="C1248" t="str">
            <v>813-2024</v>
          </cell>
          <cell r="D1248">
            <v>2500000</v>
          </cell>
          <cell r="E1248">
            <v>36757715</v>
          </cell>
          <cell r="F1248" t="str">
            <v>SONIA DEL ROCIO GOMEZ NARVAEZ</v>
          </cell>
        </row>
        <row r="1249">
          <cell r="A1249">
            <v>45642</v>
          </cell>
          <cell r="B1249">
            <v>2024003200</v>
          </cell>
          <cell r="C1249" t="str">
            <v>999-2024</v>
          </cell>
          <cell r="D1249">
            <v>2500000</v>
          </cell>
          <cell r="E1249">
            <v>36757507</v>
          </cell>
          <cell r="F1249" t="str">
            <v xml:space="preserve">YADIRA ALEXANDRA CALVACHE </v>
          </cell>
        </row>
        <row r="1250">
          <cell r="A1250">
            <v>45642</v>
          </cell>
          <cell r="B1250">
            <v>2024003201</v>
          </cell>
          <cell r="C1250" t="str">
            <v>851-2024</v>
          </cell>
          <cell r="D1250">
            <v>6000000</v>
          </cell>
          <cell r="E1250">
            <v>1085313872</v>
          </cell>
          <cell r="F1250" t="str">
            <v>NIKOLE CAROLAY IBAÑEZ ALVAREZ</v>
          </cell>
        </row>
        <row r="1251">
          <cell r="A1251">
            <v>45642</v>
          </cell>
          <cell r="B1251">
            <v>2024003202</v>
          </cell>
          <cell r="C1251" t="str">
            <v>989-2024</v>
          </cell>
          <cell r="D1251">
            <v>3000000</v>
          </cell>
          <cell r="E1251">
            <v>37083324</v>
          </cell>
          <cell r="F1251" t="str">
            <v>ANNY MAYERLINE NARVAEZ ÑAÑEZ</v>
          </cell>
        </row>
        <row r="1252">
          <cell r="A1252">
            <v>45642</v>
          </cell>
          <cell r="B1252">
            <v>2024003203</v>
          </cell>
          <cell r="C1252" t="str">
            <v>907-2024</v>
          </cell>
          <cell r="D1252">
            <v>4825000</v>
          </cell>
          <cell r="E1252">
            <v>1085265622</v>
          </cell>
          <cell r="F1252" t="str">
            <v>VIVIANA MERCEDES PIZANO PORTILLA</v>
          </cell>
        </row>
        <row r="1253">
          <cell r="A1253">
            <v>45642</v>
          </cell>
          <cell r="B1253">
            <v>2024003204</v>
          </cell>
          <cell r="C1253" t="str">
            <v>781-2024</v>
          </cell>
          <cell r="D1253">
            <v>3000000</v>
          </cell>
          <cell r="E1253">
            <v>1085302942</v>
          </cell>
          <cell r="F1253" t="str">
            <v>MARIA CAMILA PAREDEZ TIMANA</v>
          </cell>
        </row>
        <row r="1254">
          <cell r="A1254">
            <v>45642</v>
          </cell>
          <cell r="B1254">
            <v>2024003205</v>
          </cell>
          <cell r="C1254" t="str">
            <v>647-2024</v>
          </cell>
          <cell r="D1254">
            <v>7540000</v>
          </cell>
          <cell r="E1254">
            <v>1085320661</v>
          </cell>
          <cell r="F1254" t="str">
            <v>JHEIBER BRANLLERT DULCE MUÑOZ</v>
          </cell>
        </row>
        <row r="1255">
          <cell r="A1255">
            <v>45642</v>
          </cell>
          <cell r="B1255">
            <v>2024003207</v>
          </cell>
          <cell r="C1255" t="str">
            <v>651-2024</v>
          </cell>
          <cell r="D1255">
            <v>7540000</v>
          </cell>
          <cell r="E1255">
            <v>37087120</v>
          </cell>
          <cell r="F1255" t="str">
            <v>JOHANA CAROLINA CAICEDO GOYES</v>
          </cell>
        </row>
        <row r="1256">
          <cell r="A1256">
            <v>45642</v>
          </cell>
          <cell r="B1256">
            <v>2024003208</v>
          </cell>
          <cell r="C1256" t="str">
            <v>775-2024</v>
          </cell>
          <cell r="D1256">
            <v>4825000</v>
          </cell>
          <cell r="E1256">
            <v>12748383</v>
          </cell>
          <cell r="F1256" t="str">
            <v>ANDRES ERNESTO BRAVO  ALMEIDA</v>
          </cell>
        </row>
        <row r="1257">
          <cell r="A1257">
            <v>45642</v>
          </cell>
          <cell r="B1257">
            <v>2024003209</v>
          </cell>
          <cell r="C1257" t="str">
            <v>805-2024</v>
          </cell>
          <cell r="D1257">
            <v>3000000</v>
          </cell>
          <cell r="E1257">
            <v>1085269090</v>
          </cell>
          <cell r="F1257" t="str">
            <v>FHALOM CAROLINA ROSERO TORRES</v>
          </cell>
        </row>
        <row r="1258">
          <cell r="A1258">
            <v>45642</v>
          </cell>
          <cell r="B1258">
            <v>2024003210</v>
          </cell>
          <cell r="C1258" t="str">
            <v>1044-2024</v>
          </cell>
          <cell r="D1258">
            <v>833000</v>
          </cell>
          <cell r="E1258">
            <v>1085254615</v>
          </cell>
          <cell r="F1258" t="str">
            <v>ANGELA JENNIFER VALLEJO PALACIOS</v>
          </cell>
        </row>
        <row r="1259">
          <cell r="A1259">
            <v>45642</v>
          </cell>
          <cell r="B1259">
            <v>2024003211</v>
          </cell>
          <cell r="C1259" t="str">
            <v>816-2024</v>
          </cell>
          <cell r="D1259">
            <v>3000000</v>
          </cell>
          <cell r="E1259">
            <v>1085272140</v>
          </cell>
          <cell r="F1259" t="str">
            <v>LADY MABEL CABRERA CORAL</v>
          </cell>
        </row>
        <row r="1260">
          <cell r="A1260">
            <v>45642</v>
          </cell>
          <cell r="B1260">
            <v>2024003212</v>
          </cell>
          <cell r="C1260" t="str">
            <v>910-2024</v>
          </cell>
          <cell r="D1260">
            <v>2500000</v>
          </cell>
          <cell r="E1260">
            <v>1004535115</v>
          </cell>
          <cell r="F1260" t="str">
            <v>LISETH  MUÑOZ MARTINEZ</v>
          </cell>
        </row>
        <row r="1261">
          <cell r="A1261">
            <v>45642</v>
          </cell>
          <cell r="B1261">
            <v>2024003213</v>
          </cell>
          <cell r="C1261" t="str">
            <v>844-2024</v>
          </cell>
          <cell r="D1261">
            <v>2500000</v>
          </cell>
          <cell r="E1261">
            <v>1085320930</v>
          </cell>
          <cell r="F1261" t="str">
            <v>LINA YEZMIN DE LA CRUZ CUSIS</v>
          </cell>
        </row>
        <row r="1262">
          <cell r="A1262">
            <v>45642</v>
          </cell>
          <cell r="B1262">
            <v>2024003214</v>
          </cell>
          <cell r="C1262" t="str">
            <v>719-2024</v>
          </cell>
          <cell r="D1262">
            <v>3000000</v>
          </cell>
          <cell r="E1262">
            <v>1088799034</v>
          </cell>
          <cell r="F1262" t="str">
            <v>GREACE  ALEJANDRA CALPA CAICEDO</v>
          </cell>
        </row>
        <row r="1263">
          <cell r="A1263">
            <v>45642</v>
          </cell>
          <cell r="B1263">
            <v>2024003215</v>
          </cell>
          <cell r="C1263" t="str">
            <v>636-2024</v>
          </cell>
          <cell r="D1263">
            <v>4750000</v>
          </cell>
          <cell r="E1263">
            <v>1085318684</v>
          </cell>
          <cell r="F1263" t="str">
            <v>JENIFER  AREVALO CRIOLLO</v>
          </cell>
        </row>
        <row r="1264">
          <cell r="A1264">
            <v>45642</v>
          </cell>
          <cell r="B1264">
            <v>2024003216</v>
          </cell>
          <cell r="C1264" t="str">
            <v>692-2024</v>
          </cell>
          <cell r="D1264">
            <v>3000000</v>
          </cell>
          <cell r="E1264">
            <v>1085316191</v>
          </cell>
          <cell r="F1264" t="str">
            <v>MARIA HOMAIRA GUEVARA CORAL</v>
          </cell>
        </row>
        <row r="1265">
          <cell r="A1265">
            <v>45642</v>
          </cell>
          <cell r="B1265">
            <v>2024003217</v>
          </cell>
          <cell r="C1265" t="str">
            <v>900-2024</v>
          </cell>
          <cell r="D1265">
            <v>3000000</v>
          </cell>
          <cell r="E1265">
            <v>5930737</v>
          </cell>
          <cell r="F1265" t="str">
            <v>KARELIS NATALY ZHENG MONSALVE</v>
          </cell>
        </row>
        <row r="1266">
          <cell r="A1266">
            <v>45642</v>
          </cell>
          <cell r="B1266">
            <v>2024003218</v>
          </cell>
          <cell r="C1266" t="str">
            <v>762-2024</v>
          </cell>
          <cell r="D1266">
            <v>3000000</v>
          </cell>
          <cell r="E1266">
            <v>1085323101</v>
          </cell>
          <cell r="F1266" t="str">
            <v>ANGIE VIVIANA AULLON VASQUEZ</v>
          </cell>
        </row>
        <row r="1267">
          <cell r="A1267">
            <v>45642</v>
          </cell>
          <cell r="B1267">
            <v>2024003219</v>
          </cell>
          <cell r="C1267" t="str">
            <v>751-2024</v>
          </cell>
          <cell r="D1267">
            <v>3000000</v>
          </cell>
          <cell r="E1267">
            <v>87070661</v>
          </cell>
          <cell r="F1267" t="str">
            <v>EDER SHINEIDER TUTISTAR TUTISTAR</v>
          </cell>
        </row>
        <row r="1268">
          <cell r="A1268">
            <v>45642</v>
          </cell>
          <cell r="B1268">
            <v>2024003220</v>
          </cell>
          <cell r="C1268" t="str">
            <v>893-2024</v>
          </cell>
          <cell r="D1268">
            <v>2500000</v>
          </cell>
          <cell r="E1268">
            <v>30737741</v>
          </cell>
          <cell r="F1268" t="str">
            <v>CLEOTILDE FLOR ALBA PIANDOY CUSIS</v>
          </cell>
        </row>
        <row r="1269">
          <cell r="A1269">
            <v>45642</v>
          </cell>
          <cell r="B1269">
            <v>2024003221</v>
          </cell>
          <cell r="C1269" t="str">
            <v>660-2024</v>
          </cell>
          <cell r="D1269">
            <v>4825000</v>
          </cell>
          <cell r="E1269">
            <v>1088730712</v>
          </cell>
          <cell r="F1269" t="str">
            <v>ANGELA PATRICIA BASTIDAS  MELO</v>
          </cell>
        </row>
        <row r="1270">
          <cell r="A1270">
            <v>45642</v>
          </cell>
          <cell r="B1270">
            <v>2024003222</v>
          </cell>
          <cell r="C1270" t="str">
            <v>1024-2024</v>
          </cell>
          <cell r="D1270">
            <v>1416100</v>
          </cell>
          <cell r="E1270">
            <v>12996869</v>
          </cell>
          <cell r="F1270" t="str">
            <v>RICAURTE ENRIQUEZ FABIO HERNAN</v>
          </cell>
        </row>
        <row r="1271">
          <cell r="A1271">
            <v>45642</v>
          </cell>
          <cell r="B1271">
            <v>2024003223</v>
          </cell>
          <cell r="C1271" t="str">
            <v>823-2024</v>
          </cell>
          <cell r="D1271">
            <v>2500000</v>
          </cell>
          <cell r="E1271">
            <v>1086016308</v>
          </cell>
          <cell r="F1271" t="str">
            <v>AYDE JACKELINE CABRERA CRIOLLO</v>
          </cell>
        </row>
        <row r="1272">
          <cell r="A1272">
            <v>45642</v>
          </cell>
          <cell r="B1272">
            <v>2024003225</v>
          </cell>
          <cell r="C1272" t="str">
            <v>868-2024</v>
          </cell>
          <cell r="D1272">
            <v>6000000</v>
          </cell>
          <cell r="E1272">
            <v>36757221</v>
          </cell>
          <cell r="F1272" t="str">
            <v>FANNY MARIELA CORDOBA MORENO</v>
          </cell>
        </row>
        <row r="1273">
          <cell r="A1273">
            <v>45642</v>
          </cell>
          <cell r="B1273">
            <v>2024003226</v>
          </cell>
          <cell r="C1273" t="str">
            <v>757-2024</v>
          </cell>
          <cell r="D1273">
            <v>6000000</v>
          </cell>
          <cell r="E1273">
            <v>27109314</v>
          </cell>
          <cell r="F1273" t="str">
            <v>GABRIELA ALEJANDRA GUERRERO BRAVO</v>
          </cell>
        </row>
        <row r="1274">
          <cell r="A1274">
            <v>45642</v>
          </cell>
          <cell r="B1274">
            <v>2024003228</v>
          </cell>
          <cell r="C1274" t="str">
            <v>819-2024</v>
          </cell>
          <cell r="D1274">
            <v>6000000</v>
          </cell>
          <cell r="E1274">
            <v>1085320275</v>
          </cell>
          <cell r="F1274" t="str">
            <v>KAREN NATALIA ACOSTA MUÑOZ</v>
          </cell>
        </row>
        <row r="1275">
          <cell r="A1275">
            <v>45642</v>
          </cell>
          <cell r="B1275">
            <v>2024003229</v>
          </cell>
          <cell r="C1275" t="str">
            <v>839-2024</v>
          </cell>
          <cell r="D1275">
            <v>3000000</v>
          </cell>
          <cell r="E1275">
            <v>1085309422</v>
          </cell>
          <cell r="F1275" t="str">
            <v>LIZETH YOVANA SUAREZ PORTILLA</v>
          </cell>
        </row>
        <row r="1276">
          <cell r="A1276">
            <v>45642</v>
          </cell>
          <cell r="B1276">
            <v>2024003230</v>
          </cell>
          <cell r="C1276" t="str">
            <v>895-2024</v>
          </cell>
          <cell r="D1276">
            <v>2500000</v>
          </cell>
          <cell r="E1276">
            <v>27211504</v>
          </cell>
          <cell r="F1276" t="str">
            <v>YUDY LILIANA BENAVIDES OJEDA</v>
          </cell>
        </row>
        <row r="1277">
          <cell r="A1277">
            <v>45642</v>
          </cell>
          <cell r="B1277">
            <v>2024003232</v>
          </cell>
          <cell r="C1277" t="str">
            <v>796-2024</v>
          </cell>
          <cell r="D1277">
            <v>2500000</v>
          </cell>
          <cell r="E1277">
            <v>1085251468</v>
          </cell>
          <cell r="F1277" t="str">
            <v>ROSAURA CAROLINA MADROÑERO DELGADO</v>
          </cell>
        </row>
        <row r="1278">
          <cell r="A1278">
            <v>45642</v>
          </cell>
          <cell r="B1278">
            <v>2024003233</v>
          </cell>
          <cell r="C1278" t="str">
            <v>629-2024</v>
          </cell>
          <cell r="D1278">
            <v>6000000</v>
          </cell>
          <cell r="E1278">
            <v>1085292185</v>
          </cell>
          <cell r="F1278" t="str">
            <v>BRIGITT MARCELA BURBANO PUPIALES</v>
          </cell>
        </row>
        <row r="1279">
          <cell r="A1279">
            <v>45642</v>
          </cell>
          <cell r="B1279">
            <v>2024003234</v>
          </cell>
          <cell r="C1279" t="str">
            <v>693-2024</v>
          </cell>
          <cell r="D1279">
            <v>3000000</v>
          </cell>
          <cell r="E1279">
            <v>59828916</v>
          </cell>
          <cell r="F1279" t="str">
            <v xml:space="preserve">ROCIO DEL PILAR RIVERA </v>
          </cell>
        </row>
        <row r="1280">
          <cell r="A1280">
            <v>45642</v>
          </cell>
          <cell r="B1280">
            <v>2024003235</v>
          </cell>
          <cell r="C1280" t="str">
            <v>930-2024</v>
          </cell>
          <cell r="D1280">
            <v>3000000</v>
          </cell>
          <cell r="E1280">
            <v>1004235479</v>
          </cell>
          <cell r="F1280" t="str">
            <v>TANIA KARINA CUERO CASANOVA</v>
          </cell>
        </row>
        <row r="1281">
          <cell r="A1281">
            <v>45642</v>
          </cell>
          <cell r="B1281">
            <v>2024003236</v>
          </cell>
          <cell r="C1281" t="str">
            <v>643-2024</v>
          </cell>
          <cell r="D1281">
            <v>4825000</v>
          </cell>
          <cell r="E1281">
            <v>27087851</v>
          </cell>
          <cell r="F1281" t="str">
            <v>ADRIANA YORLADY ARMERO BURBANO</v>
          </cell>
        </row>
        <row r="1282">
          <cell r="A1282">
            <v>45642</v>
          </cell>
          <cell r="B1282">
            <v>2024003237</v>
          </cell>
          <cell r="C1282" t="str">
            <v>884-2024</v>
          </cell>
          <cell r="D1282">
            <v>2500000</v>
          </cell>
          <cell r="E1282">
            <v>59311646</v>
          </cell>
          <cell r="F1282" t="str">
            <v>DIANA CAROLINA MORAN CRUZ</v>
          </cell>
        </row>
        <row r="1283">
          <cell r="A1283">
            <v>45643</v>
          </cell>
          <cell r="B1283">
            <v>2024003240</v>
          </cell>
          <cell r="C1283" t="str">
            <v>832-2024</v>
          </cell>
          <cell r="D1283">
            <v>3000000</v>
          </cell>
          <cell r="E1283">
            <v>59311233</v>
          </cell>
          <cell r="F1283" t="str">
            <v>YULI XIMENA TAPIA ORDOÑEZ</v>
          </cell>
        </row>
        <row r="1284">
          <cell r="A1284">
            <v>45643</v>
          </cell>
          <cell r="B1284">
            <v>2024003241</v>
          </cell>
          <cell r="C1284" t="str">
            <v>821-2024</v>
          </cell>
          <cell r="D1284">
            <v>3000000</v>
          </cell>
          <cell r="E1284">
            <v>1085313463</v>
          </cell>
          <cell r="F1284" t="str">
            <v>JAZMIN DEL CARMEN NUPAN BURBANO</v>
          </cell>
        </row>
        <row r="1285">
          <cell r="A1285">
            <v>45643</v>
          </cell>
          <cell r="B1285">
            <v>2024003242</v>
          </cell>
          <cell r="C1285" t="str">
            <v>942-2024</v>
          </cell>
          <cell r="D1285">
            <v>7540000</v>
          </cell>
          <cell r="E1285">
            <v>1085312978</v>
          </cell>
          <cell r="F1285" t="str">
            <v>DANIEL  SALAZAR LOPEZ</v>
          </cell>
        </row>
        <row r="1286">
          <cell r="A1286">
            <v>45643</v>
          </cell>
          <cell r="B1286">
            <v>2024003243</v>
          </cell>
          <cell r="C1286" t="str">
            <v>639-2024</v>
          </cell>
          <cell r="D1286">
            <v>4750000</v>
          </cell>
          <cell r="E1286">
            <v>1085260497</v>
          </cell>
          <cell r="F1286" t="str">
            <v>JOSE FERNANDO CHAÑA QUENGUAN</v>
          </cell>
        </row>
        <row r="1287">
          <cell r="A1287">
            <v>45643</v>
          </cell>
          <cell r="B1287">
            <v>2024003245</v>
          </cell>
          <cell r="C1287" t="str">
            <v>782-2024</v>
          </cell>
          <cell r="D1287">
            <v>3000000</v>
          </cell>
          <cell r="E1287">
            <v>1004535234</v>
          </cell>
          <cell r="F1287" t="str">
            <v>BRIGIT ESNIT GARCIA MANCHABAJOY</v>
          </cell>
        </row>
        <row r="1288">
          <cell r="A1288">
            <v>45643</v>
          </cell>
          <cell r="B1288">
            <v>2024003246</v>
          </cell>
          <cell r="C1288" t="str">
            <v>802-2024</v>
          </cell>
          <cell r="D1288">
            <v>3000000</v>
          </cell>
          <cell r="E1288">
            <v>1233191675</v>
          </cell>
          <cell r="F1288" t="str">
            <v>NATHALY STEPHANIE MARTINEZ MARTINEZ</v>
          </cell>
        </row>
        <row r="1289">
          <cell r="A1289">
            <v>45643</v>
          </cell>
          <cell r="B1289">
            <v>2024003247</v>
          </cell>
          <cell r="C1289" t="str">
            <v>954-2024</v>
          </cell>
          <cell r="D1289">
            <v>3000000</v>
          </cell>
          <cell r="E1289">
            <v>59833899</v>
          </cell>
          <cell r="F1289" t="str">
            <v>ANDREA LILIANA LAGUNA  RUALES</v>
          </cell>
        </row>
        <row r="1290">
          <cell r="A1290">
            <v>45643</v>
          </cell>
          <cell r="B1290">
            <v>2024003248</v>
          </cell>
          <cell r="C1290" t="str">
            <v>713-2024</v>
          </cell>
          <cell r="D1290">
            <v>6000000</v>
          </cell>
          <cell r="E1290">
            <v>1004213964</v>
          </cell>
          <cell r="F1290" t="str">
            <v>JENIFFER  ARCOS GIL</v>
          </cell>
        </row>
        <row r="1291">
          <cell r="A1291">
            <v>45643</v>
          </cell>
          <cell r="B1291">
            <v>2024003249</v>
          </cell>
          <cell r="C1291" t="str">
            <v>908-2024</v>
          </cell>
          <cell r="D1291">
            <v>3000000</v>
          </cell>
          <cell r="E1291">
            <v>1085252263</v>
          </cell>
          <cell r="F1291" t="str">
            <v>DEISY JOHANNA BASTIDAS JOJOA</v>
          </cell>
        </row>
        <row r="1292">
          <cell r="A1292">
            <v>45643</v>
          </cell>
          <cell r="B1292">
            <v>2024003250</v>
          </cell>
          <cell r="C1292" t="str">
            <v>710-2024</v>
          </cell>
          <cell r="D1292">
            <v>3000000</v>
          </cell>
          <cell r="E1292">
            <v>1085347540</v>
          </cell>
          <cell r="F1292" t="str">
            <v>DANIELA ALEXANDRA PABON YARPAS</v>
          </cell>
        </row>
        <row r="1293">
          <cell r="A1293">
            <v>45643</v>
          </cell>
          <cell r="B1293">
            <v>2024003251</v>
          </cell>
          <cell r="C1293" t="str">
            <v>788-2024</v>
          </cell>
          <cell r="D1293">
            <v>3000000</v>
          </cell>
          <cell r="E1293">
            <v>1086329609</v>
          </cell>
          <cell r="F1293" t="str">
            <v>LORENA DEL CARMEN  OJEDA VAZQUEZ</v>
          </cell>
        </row>
        <row r="1294">
          <cell r="A1294">
            <v>45643</v>
          </cell>
          <cell r="B1294">
            <v>2024003252</v>
          </cell>
          <cell r="C1294" t="str">
            <v>848-2024</v>
          </cell>
          <cell r="D1294">
            <v>4825000</v>
          </cell>
          <cell r="E1294">
            <v>1085321578</v>
          </cell>
          <cell r="F1294" t="str">
            <v>CAROL  SUVANY HERRERA ERAZO</v>
          </cell>
        </row>
        <row r="1295">
          <cell r="A1295">
            <v>45643</v>
          </cell>
          <cell r="B1295">
            <v>2024003253</v>
          </cell>
          <cell r="C1295" t="str">
            <v>694-2024</v>
          </cell>
          <cell r="D1295">
            <v>3000000</v>
          </cell>
          <cell r="E1295">
            <v>1086362994</v>
          </cell>
          <cell r="F1295" t="str">
            <v>SARA  VICTORIA ALVAREZ FIGUEROA</v>
          </cell>
        </row>
        <row r="1296">
          <cell r="A1296">
            <v>45643</v>
          </cell>
          <cell r="B1296">
            <v>2024003254</v>
          </cell>
          <cell r="C1296" t="str">
            <v>929-2024</v>
          </cell>
          <cell r="D1296">
            <v>3000000</v>
          </cell>
          <cell r="E1296">
            <v>1004216993</v>
          </cell>
          <cell r="F1296" t="str">
            <v>ANDREA  NATHALY ALAVA BOLAÑOS</v>
          </cell>
        </row>
        <row r="1297">
          <cell r="A1297">
            <v>45643</v>
          </cell>
          <cell r="B1297">
            <v>2024003255</v>
          </cell>
          <cell r="C1297" t="str">
            <v>857-2024</v>
          </cell>
          <cell r="D1297">
            <v>4825000</v>
          </cell>
          <cell r="E1297">
            <v>1085289739</v>
          </cell>
          <cell r="F1297" t="str">
            <v>YULY LORENA CABRERA DELGADO</v>
          </cell>
        </row>
        <row r="1298">
          <cell r="A1298">
            <v>45643</v>
          </cell>
          <cell r="B1298">
            <v>2024003256</v>
          </cell>
          <cell r="C1298" t="str">
            <v>1034-2024</v>
          </cell>
          <cell r="D1298">
            <v>2090400</v>
          </cell>
          <cell r="E1298">
            <v>1085322873</v>
          </cell>
          <cell r="F1298" t="str">
            <v>TANIA ALEJANDRA BENAVIDES MARTINEZ</v>
          </cell>
        </row>
        <row r="1299">
          <cell r="A1299">
            <v>45643</v>
          </cell>
          <cell r="B1299">
            <v>2024003257</v>
          </cell>
          <cell r="C1299" t="str">
            <v>729-2024</v>
          </cell>
          <cell r="D1299">
            <v>7540000</v>
          </cell>
          <cell r="E1299">
            <v>1085329230</v>
          </cell>
          <cell r="F1299" t="str">
            <v>MEHILIN TATIANA QUIMBIAMBA ORTÌZ</v>
          </cell>
        </row>
        <row r="1300">
          <cell r="A1300">
            <v>45643</v>
          </cell>
          <cell r="B1300">
            <v>2024003258</v>
          </cell>
          <cell r="C1300" t="str">
            <v>649-2024</v>
          </cell>
          <cell r="D1300">
            <v>7540000</v>
          </cell>
          <cell r="E1300">
            <v>12961407</v>
          </cell>
          <cell r="F1300" t="str">
            <v>FRANCO JESUS RODRIGUEZ ARAUJO</v>
          </cell>
        </row>
        <row r="1301">
          <cell r="A1301">
            <v>45643</v>
          </cell>
          <cell r="B1301">
            <v>2024003259</v>
          </cell>
          <cell r="C1301" t="str">
            <v>1011-2024</v>
          </cell>
          <cell r="D1301">
            <v>1700000</v>
          </cell>
          <cell r="E1301">
            <v>1004598784</v>
          </cell>
          <cell r="F1301" t="str">
            <v>YEISON SMIT NUÑEZ ACOSTA</v>
          </cell>
        </row>
        <row r="1302">
          <cell r="A1302">
            <v>45643</v>
          </cell>
          <cell r="B1302">
            <v>2024003260</v>
          </cell>
          <cell r="C1302" t="str">
            <v>760-2024</v>
          </cell>
          <cell r="D1302">
            <v>6000000</v>
          </cell>
          <cell r="E1302">
            <v>1085286476</v>
          </cell>
          <cell r="F1302" t="str">
            <v>ELIANA STEPHANIE CAICEDO ALVAREZ</v>
          </cell>
        </row>
        <row r="1303">
          <cell r="A1303">
            <v>45643</v>
          </cell>
          <cell r="B1303">
            <v>2024003261</v>
          </cell>
          <cell r="C1303" t="str">
            <v>931-2024</v>
          </cell>
          <cell r="D1303">
            <v>7540000</v>
          </cell>
          <cell r="E1303">
            <v>1085329980</v>
          </cell>
          <cell r="F1303" t="str">
            <v>MARIA  CAMILA JURADO PAZ</v>
          </cell>
        </row>
        <row r="1304">
          <cell r="A1304">
            <v>45643</v>
          </cell>
          <cell r="B1304">
            <v>2024003262</v>
          </cell>
          <cell r="C1304" t="str">
            <v>678-2024</v>
          </cell>
          <cell r="D1304">
            <v>7540000</v>
          </cell>
          <cell r="E1304">
            <v>1085255870</v>
          </cell>
          <cell r="F1304" t="str">
            <v>ANGELA LORENA LOPEZ  VALLEJO</v>
          </cell>
        </row>
        <row r="1305">
          <cell r="A1305">
            <v>45643</v>
          </cell>
          <cell r="B1305">
            <v>2024003263</v>
          </cell>
          <cell r="C1305" t="str">
            <v>858-2024</v>
          </cell>
          <cell r="D1305">
            <v>4750000</v>
          </cell>
          <cell r="E1305">
            <v>36950073</v>
          </cell>
          <cell r="F1305" t="str">
            <v>INGRID RAQUEL MONCAYO  NARVAEZ</v>
          </cell>
        </row>
        <row r="1306">
          <cell r="A1306">
            <v>45643</v>
          </cell>
          <cell r="B1306">
            <v>2024003264</v>
          </cell>
          <cell r="C1306" t="str">
            <v>787-2024</v>
          </cell>
          <cell r="D1306">
            <v>3000000</v>
          </cell>
          <cell r="E1306">
            <v>59833702</v>
          </cell>
          <cell r="F1306" t="str">
            <v>AMANDA  LOPEZ HERNANDEZ</v>
          </cell>
        </row>
        <row r="1307">
          <cell r="A1307">
            <v>45643</v>
          </cell>
          <cell r="B1307">
            <v>2024003265</v>
          </cell>
          <cell r="C1307" t="str">
            <v>864-2024</v>
          </cell>
          <cell r="D1307">
            <v>2500000</v>
          </cell>
          <cell r="E1307">
            <v>27309586</v>
          </cell>
          <cell r="F1307" t="str">
            <v>LUCENY CENIDIA DAVID  RODRIGUEZ</v>
          </cell>
        </row>
        <row r="1308">
          <cell r="A1308">
            <v>45643</v>
          </cell>
          <cell r="B1308">
            <v>2024003266</v>
          </cell>
          <cell r="C1308" t="str">
            <v>642-2024</v>
          </cell>
          <cell r="D1308">
            <v>4750000</v>
          </cell>
          <cell r="E1308">
            <v>1085263018</v>
          </cell>
          <cell r="F1308" t="str">
            <v>LUIS ALONSO GUEVARA DE LOS RIOS</v>
          </cell>
        </row>
        <row r="1309">
          <cell r="A1309">
            <v>45643</v>
          </cell>
          <cell r="B1309">
            <v>2024003267</v>
          </cell>
          <cell r="C1309" t="str">
            <v>1012-2024</v>
          </cell>
          <cell r="D1309">
            <v>1416100</v>
          </cell>
          <cell r="E1309">
            <v>1088729401</v>
          </cell>
          <cell r="F1309" t="str">
            <v>CARLOS ANDRES PANTOJA BENAVIDES</v>
          </cell>
        </row>
        <row r="1310">
          <cell r="A1310">
            <v>45643</v>
          </cell>
          <cell r="B1310">
            <v>2024003268</v>
          </cell>
          <cell r="C1310" t="str">
            <v>830-2024</v>
          </cell>
          <cell r="D1310">
            <v>3000000</v>
          </cell>
          <cell r="E1310">
            <v>98391531</v>
          </cell>
          <cell r="F1310" t="str">
            <v>HECTOR GERMAN OJEDA CERON</v>
          </cell>
        </row>
        <row r="1311">
          <cell r="A1311">
            <v>45643</v>
          </cell>
          <cell r="B1311">
            <v>2024003269</v>
          </cell>
          <cell r="C1311" t="str">
            <v>1025-2024</v>
          </cell>
          <cell r="D1311">
            <v>1700000</v>
          </cell>
          <cell r="E1311">
            <v>1085297914</v>
          </cell>
          <cell r="F1311" t="str">
            <v>YURI LORENA MUÑOZ CANCIMANZE</v>
          </cell>
        </row>
        <row r="1312">
          <cell r="A1312">
            <v>45643</v>
          </cell>
          <cell r="B1312">
            <v>2024003270</v>
          </cell>
          <cell r="C1312" t="str">
            <v>1013-2024</v>
          </cell>
          <cell r="D1312">
            <v>3000000</v>
          </cell>
          <cell r="E1312">
            <v>27388522</v>
          </cell>
          <cell r="F1312" t="str">
            <v>NUVI GRACIELA CHAMORRO CORAL</v>
          </cell>
        </row>
        <row r="1313">
          <cell r="A1313">
            <v>45643</v>
          </cell>
          <cell r="B1313">
            <v>2024003271</v>
          </cell>
          <cell r="C1313" t="str">
            <v>784-2024</v>
          </cell>
          <cell r="D1313">
            <v>3000000</v>
          </cell>
          <cell r="E1313">
            <v>1007403454</v>
          </cell>
          <cell r="F1313" t="str">
            <v>ADRIANA YADIRA MENESES CARVAJAL</v>
          </cell>
        </row>
        <row r="1314">
          <cell r="A1314">
            <v>45643</v>
          </cell>
          <cell r="B1314">
            <v>2024003272</v>
          </cell>
          <cell r="C1314" t="str">
            <v>991-2024</v>
          </cell>
          <cell r="D1314">
            <v>4750000</v>
          </cell>
          <cell r="E1314">
            <v>1085325540</v>
          </cell>
          <cell r="F1314" t="str">
            <v>JOSE DAVID GOMEZ BENAVIDES</v>
          </cell>
        </row>
        <row r="1315">
          <cell r="A1315">
            <v>45643</v>
          </cell>
          <cell r="B1315">
            <v>2024003273</v>
          </cell>
          <cell r="C1315" t="str">
            <v>959-2024</v>
          </cell>
          <cell r="D1315">
            <v>1100000</v>
          </cell>
          <cell r="E1315">
            <v>1193035720</v>
          </cell>
          <cell r="F1315" t="str">
            <v>KAREN JULIANA ERAZO JURADO</v>
          </cell>
        </row>
        <row r="1316">
          <cell r="A1316">
            <v>45643</v>
          </cell>
          <cell r="B1316">
            <v>2024003275</v>
          </cell>
          <cell r="C1316" t="str">
            <v>958-2024</v>
          </cell>
          <cell r="D1316">
            <v>3000000</v>
          </cell>
          <cell r="E1316">
            <v>1081272318</v>
          </cell>
          <cell r="F1316" t="str">
            <v>JONATHAN DAVID NARVAEZ MUYUY</v>
          </cell>
        </row>
        <row r="1317">
          <cell r="A1317">
            <v>45643</v>
          </cell>
          <cell r="B1317">
            <v>2024003277</v>
          </cell>
          <cell r="C1317" t="str">
            <v>696-2024</v>
          </cell>
          <cell r="D1317">
            <v>4750000</v>
          </cell>
          <cell r="E1317">
            <v>1087422930</v>
          </cell>
          <cell r="F1317" t="str">
            <v>MARIA FERNANDA SANCHEZ CARDENAS</v>
          </cell>
        </row>
        <row r="1318">
          <cell r="A1318">
            <v>45643</v>
          </cell>
          <cell r="B1318">
            <v>2024003280</v>
          </cell>
          <cell r="C1318" t="str">
            <v>696-2024</v>
          </cell>
          <cell r="D1318">
            <v>4750000</v>
          </cell>
          <cell r="E1318">
            <v>1087422930</v>
          </cell>
          <cell r="F1318" t="str">
            <v>MARIA FERNANDA SANCHEZ CARDENAS</v>
          </cell>
        </row>
        <row r="1319">
          <cell r="A1319">
            <v>45643</v>
          </cell>
          <cell r="B1319">
            <v>2024003286</v>
          </cell>
          <cell r="C1319" t="str">
            <v>946-2024</v>
          </cell>
          <cell r="D1319">
            <v>6000000</v>
          </cell>
          <cell r="E1319">
            <v>1233193716</v>
          </cell>
          <cell r="F1319" t="str">
            <v>MARIA CAMILA PATIÑO DELGADO</v>
          </cell>
        </row>
        <row r="1320">
          <cell r="A1320">
            <v>45643</v>
          </cell>
          <cell r="B1320">
            <v>2024003295</v>
          </cell>
          <cell r="C1320" t="str">
            <v>811-2024</v>
          </cell>
          <cell r="D1320">
            <v>2500000</v>
          </cell>
          <cell r="E1320">
            <v>36753698</v>
          </cell>
          <cell r="F1320" t="str">
            <v>ANA MILENA JACANMIJOY TREJO</v>
          </cell>
        </row>
        <row r="1321">
          <cell r="A1321">
            <v>45643</v>
          </cell>
          <cell r="B1321">
            <v>2024003297</v>
          </cell>
          <cell r="C1321" t="str">
            <v>985-2024</v>
          </cell>
          <cell r="D1321">
            <v>4750000</v>
          </cell>
          <cell r="E1321">
            <v>1067940322</v>
          </cell>
          <cell r="F1321" t="str">
            <v>KAREN  CRISTINA MOSQUERA HERNANDEZ</v>
          </cell>
        </row>
        <row r="1322">
          <cell r="A1322">
            <v>45643</v>
          </cell>
          <cell r="B1322">
            <v>2024003299</v>
          </cell>
          <cell r="C1322" t="str">
            <v>804-2024</v>
          </cell>
          <cell r="D1322">
            <v>3000000</v>
          </cell>
          <cell r="E1322">
            <v>1081053820</v>
          </cell>
          <cell r="F1322" t="str">
            <v>ANDREA  CATALINA CUASTUMAL ESCOBAR</v>
          </cell>
        </row>
        <row r="1323">
          <cell r="A1323">
            <v>45643</v>
          </cell>
          <cell r="B1323">
            <v>2024003301</v>
          </cell>
          <cell r="C1323" t="str">
            <v>477-2024</v>
          </cell>
          <cell r="D1323">
            <v>1000000</v>
          </cell>
          <cell r="E1323">
            <v>1081052552</v>
          </cell>
          <cell r="F1323" t="str">
            <v>ANGELA SOFIA CHACHINOY ALVAREZ</v>
          </cell>
        </row>
        <row r="1324">
          <cell r="A1324">
            <v>45643</v>
          </cell>
          <cell r="B1324">
            <v>2024003302</v>
          </cell>
          <cell r="C1324" t="str">
            <v>722-2024</v>
          </cell>
          <cell r="D1324">
            <v>4825000</v>
          </cell>
          <cell r="E1324">
            <v>37082349</v>
          </cell>
          <cell r="F1324" t="str">
            <v>PAULA XIMENA CHÁVES PASMIÑO</v>
          </cell>
        </row>
        <row r="1325">
          <cell r="A1325">
            <v>45643</v>
          </cell>
          <cell r="B1325">
            <v>2024003304</v>
          </cell>
          <cell r="C1325" t="str">
            <v>797-2024</v>
          </cell>
          <cell r="D1325">
            <v>3000000</v>
          </cell>
          <cell r="E1325">
            <v>1085250095</v>
          </cell>
          <cell r="F1325" t="str">
            <v>LIDIA JIMENA RODRIGUEZ LOZA</v>
          </cell>
        </row>
        <row r="1326">
          <cell r="A1326">
            <v>45643</v>
          </cell>
          <cell r="B1326">
            <v>2024003307</v>
          </cell>
          <cell r="C1326" t="str">
            <v>825-2024</v>
          </cell>
          <cell r="D1326">
            <v>6000000</v>
          </cell>
          <cell r="E1326">
            <v>27097745</v>
          </cell>
          <cell r="F1326" t="str">
            <v>VIVEROS BRAVO NORA</v>
          </cell>
        </row>
        <row r="1327">
          <cell r="A1327">
            <v>45643</v>
          </cell>
          <cell r="B1327">
            <v>2024003309</v>
          </cell>
          <cell r="C1327" t="str">
            <v>1032-2024</v>
          </cell>
          <cell r="D1327">
            <v>1300000</v>
          </cell>
          <cell r="E1327">
            <v>1088733625</v>
          </cell>
          <cell r="F1327" t="str">
            <v>YOLLDY LIZETH CABRERA FUERTES</v>
          </cell>
        </row>
        <row r="1328">
          <cell r="A1328">
            <v>45643</v>
          </cell>
          <cell r="B1328">
            <v>2024003311</v>
          </cell>
          <cell r="C1328" t="str">
            <v>909-2024</v>
          </cell>
          <cell r="D1328">
            <v>3000000</v>
          </cell>
          <cell r="E1328">
            <v>1085319295</v>
          </cell>
          <cell r="F1328" t="str">
            <v>CLAUDIA EDILMA PAZ GUERRA</v>
          </cell>
        </row>
        <row r="1329">
          <cell r="A1329">
            <v>45643</v>
          </cell>
          <cell r="B1329">
            <v>2024003355</v>
          </cell>
          <cell r="C1329" t="str">
            <v>975-2024</v>
          </cell>
          <cell r="D1329">
            <v>4825000</v>
          </cell>
          <cell r="E1329">
            <v>12983807</v>
          </cell>
          <cell r="F1329" t="str">
            <v>RICARDO  ENRIQUE VEGA MERA</v>
          </cell>
        </row>
        <row r="1330">
          <cell r="A1330">
            <v>45643</v>
          </cell>
          <cell r="B1330">
            <v>2024003356</v>
          </cell>
          <cell r="C1330" t="str">
            <v>1033-2024</v>
          </cell>
          <cell r="D1330">
            <v>1082900</v>
          </cell>
          <cell r="E1330">
            <v>30722194</v>
          </cell>
          <cell r="F1330" t="str">
            <v>OSORIO GUERRERO ORFELINA DEL CARMEN</v>
          </cell>
        </row>
        <row r="1331">
          <cell r="A1331">
            <v>45643</v>
          </cell>
          <cell r="B1331">
            <v>2024003357</v>
          </cell>
          <cell r="C1331" t="str">
            <v>732-2024</v>
          </cell>
          <cell r="D1331">
            <v>3000000</v>
          </cell>
          <cell r="E1331">
            <v>1085344082</v>
          </cell>
          <cell r="F1331" t="str">
            <v>NATALIA LIZETH AGUIRRE SALAZAR</v>
          </cell>
        </row>
        <row r="1332">
          <cell r="A1332">
            <v>45643</v>
          </cell>
          <cell r="B1332">
            <v>2024003358</v>
          </cell>
          <cell r="C1332" t="str">
            <v>640-2024</v>
          </cell>
          <cell r="D1332">
            <v>4750000</v>
          </cell>
          <cell r="E1332">
            <v>1087413951</v>
          </cell>
          <cell r="F1332" t="str">
            <v>MAYERLY NORIDIA ASMAZA GETIAL</v>
          </cell>
        </row>
        <row r="1333">
          <cell r="A1333">
            <v>45643</v>
          </cell>
          <cell r="B1333">
            <v>2024003359</v>
          </cell>
          <cell r="C1333" t="str">
            <v>1020-2024</v>
          </cell>
          <cell r="D1333">
            <v>4750000</v>
          </cell>
          <cell r="E1333">
            <v>1085326561</v>
          </cell>
          <cell r="F1333" t="str">
            <v>KATHERINE CAMILA URIBE BURBANO</v>
          </cell>
        </row>
        <row r="1334">
          <cell r="A1334">
            <v>45643</v>
          </cell>
          <cell r="B1334">
            <v>2024003360</v>
          </cell>
          <cell r="C1334" t="str">
            <v>779-2024</v>
          </cell>
          <cell r="D1334">
            <v>2100000</v>
          </cell>
          <cell r="E1334">
            <v>1085286742</v>
          </cell>
          <cell r="F1334" t="str">
            <v>VANESSA KATHERINE JOJOA ARIAS</v>
          </cell>
        </row>
        <row r="1335">
          <cell r="A1335">
            <v>45643</v>
          </cell>
          <cell r="B1335">
            <v>2024003361</v>
          </cell>
          <cell r="C1335" t="str">
            <v>886-2024</v>
          </cell>
          <cell r="D1335">
            <v>3000000</v>
          </cell>
          <cell r="E1335">
            <v>1004215136</v>
          </cell>
          <cell r="F1335" t="str">
            <v xml:space="preserve">JESICA GERALDINE MORALES </v>
          </cell>
        </row>
        <row r="1336">
          <cell r="A1336">
            <v>45643</v>
          </cell>
          <cell r="B1336">
            <v>2024003362</v>
          </cell>
          <cell r="C1336" t="str">
            <v>962-2024</v>
          </cell>
          <cell r="D1336">
            <v>6000000</v>
          </cell>
          <cell r="E1336">
            <v>1131085780</v>
          </cell>
          <cell r="F1336" t="str">
            <v>LEODAN DANIEL NARVAEZ NARVAEZ</v>
          </cell>
        </row>
        <row r="1337">
          <cell r="A1337">
            <v>45643</v>
          </cell>
          <cell r="B1337">
            <v>2024003363</v>
          </cell>
          <cell r="C1337" t="str">
            <v>1002-2024</v>
          </cell>
          <cell r="D1337">
            <v>2500000</v>
          </cell>
          <cell r="E1337">
            <v>1085324252</v>
          </cell>
          <cell r="F1337" t="str">
            <v>ELSSY ISLANDI SOLARTE ORDOÑEZ</v>
          </cell>
        </row>
        <row r="1338">
          <cell r="A1338">
            <v>45643</v>
          </cell>
          <cell r="B1338">
            <v>2024003364</v>
          </cell>
          <cell r="C1338" t="str">
            <v>1003-2024</v>
          </cell>
          <cell r="D1338">
            <v>4750000</v>
          </cell>
          <cell r="E1338">
            <v>1085313870</v>
          </cell>
          <cell r="F1338" t="str">
            <v>CAROL SILVANA PATIÑO VALENCIA</v>
          </cell>
        </row>
        <row r="1339">
          <cell r="A1339">
            <v>45643</v>
          </cell>
          <cell r="B1339">
            <v>2024003365</v>
          </cell>
          <cell r="C1339" t="str">
            <v>1037-2024</v>
          </cell>
          <cell r="D1339">
            <v>2691100</v>
          </cell>
          <cell r="E1339">
            <v>1085334685</v>
          </cell>
          <cell r="F1339" t="str">
            <v>YURI MABEL GUARANGUAY GUERRERO</v>
          </cell>
        </row>
        <row r="1340">
          <cell r="A1340">
            <v>45643</v>
          </cell>
          <cell r="B1340">
            <v>2024003366</v>
          </cell>
          <cell r="C1340" t="str">
            <v>793-2024</v>
          </cell>
          <cell r="D1340">
            <v>3000000</v>
          </cell>
          <cell r="E1340">
            <v>1233188273</v>
          </cell>
          <cell r="F1340" t="str">
            <v>ALEJANDRA MARLENY PATIÑO VALENCIA</v>
          </cell>
        </row>
        <row r="1341">
          <cell r="A1341">
            <v>45643</v>
          </cell>
          <cell r="B1341">
            <v>2024003367</v>
          </cell>
          <cell r="C1341" t="str">
            <v>859-2024</v>
          </cell>
          <cell r="D1341">
            <v>3000000</v>
          </cell>
          <cell r="E1341">
            <v>1085338575</v>
          </cell>
          <cell r="F1341" t="str">
            <v>RAFAEL ARLEY ROSERO PINZA</v>
          </cell>
        </row>
        <row r="1342">
          <cell r="A1342">
            <v>45643</v>
          </cell>
          <cell r="B1342">
            <v>2024003368</v>
          </cell>
          <cell r="C1342" t="str">
            <v>939-2024</v>
          </cell>
          <cell r="D1342">
            <v>6000000</v>
          </cell>
          <cell r="E1342">
            <v>59588823</v>
          </cell>
          <cell r="F1342" t="str">
            <v>ZANDRA YADIRA GOMEZ ZAMBRANO</v>
          </cell>
        </row>
        <row r="1343">
          <cell r="A1343">
            <v>45643</v>
          </cell>
          <cell r="B1343">
            <v>2024003369</v>
          </cell>
          <cell r="C1343" t="str">
            <v>684-2024</v>
          </cell>
          <cell r="D1343">
            <v>4825000</v>
          </cell>
          <cell r="E1343">
            <v>30733517</v>
          </cell>
          <cell r="F1343" t="str">
            <v>CARMEN  LILIANA ARCINIEGAS LÒPEZ</v>
          </cell>
        </row>
        <row r="1344">
          <cell r="A1344">
            <v>45643</v>
          </cell>
          <cell r="B1344">
            <v>2024003370</v>
          </cell>
          <cell r="C1344" t="str">
            <v>883-2024</v>
          </cell>
          <cell r="D1344">
            <v>2500000</v>
          </cell>
          <cell r="E1344">
            <v>13072447</v>
          </cell>
          <cell r="F1344" t="str">
            <v>DANNY ALEXANDER ORTIZ MUÑOZ</v>
          </cell>
        </row>
        <row r="1345">
          <cell r="A1345">
            <v>45643</v>
          </cell>
          <cell r="B1345">
            <v>2024003371</v>
          </cell>
          <cell r="C1345" t="str">
            <v>855-2024</v>
          </cell>
          <cell r="D1345">
            <v>2500000</v>
          </cell>
          <cell r="E1345">
            <v>1085338135</v>
          </cell>
          <cell r="F1345" t="str">
            <v>NATHALIE CAROLINA ESTRADA SE LA CRUZ</v>
          </cell>
        </row>
        <row r="1346">
          <cell r="A1346">
            <v>45643</v>
          </cell>
          <cell r="B1346">
            <v>2024003372</v>
          </cell>
          <cell r="C1346" t="str">
            <v>752-2024</v>
          </cell>
          <cell r="D1346">
            <v>4825000</v>
          </cell>
          <cell r="E1346">
            <v>59310622</v>
          </cell>
          <cell r="F1346" t="str">
            <v>LIDA CRISTINA GUERRERO MIRAMAG</v>
          </cell>
        </row>
        <row r="1347">
          <cell r="A1347">
            <v>45643</v>
          </cell>
          <cell r="B1347">
            <v>2024003373</v>
          </cell>
          <cell r="C1347" t="str">
            <v>758-2024</v>
          </cell>
          <cell r="D1347">
            <v>6000000</v>
          </cell>
          <cell r="E1347">
            <v>79724257</v>
          </cell>
          <cell r="F1347" t="str">
            <v>LEONEL FERNANDO JOJOA JOJOA</v>
          </cell>
        </row>
        <row r="1348">
          <cell r="A1348">
            <v>45645</v>
          </cell>
          <cell r="B1348">
            <v>2024003381</v>
          </cell>
          <cell r="C1348" t="str">
            <v>643-2024</v>
          </cell>
          <cell r="D1348">
            <v>4825000</v>
          </cell>
          <cell r="E1348">
            <v>27087851</v>
          </cell>
          <cell r="F1348" t="str">
            <v>ADRIANA YORLADY ARMERO BURBANO</v>
          </cell>
        </row>
        <row r="1349">
          <cell r="A1349">
            <v>45645</v>
          </cell>
          <cell r="B1349">
            <v>2024003382</v>
          </cell>
          <cell r="C1349" t="str">
            <v>852-2024</v>
          </cell>
          <cell r="D1349">
            <v>3000000</v>
          </cell>
          <cell r="E1349">
            <v>1004135064</v>
          </cell>
          <cell r="F1349" t="str">
            <v>JESSICA FERNANDA LAGOS DAVID</v>
          </cell>
        </row>
        <row r="1350">
          <cell r="A1350">
            <v>45645</v>
          </cell>
          <cell r="B1350">
            <v>2024003383</v>
          </cell>
          <cell r="C1350" t="str">
            <v>913-2024</v>
          </cell>
          <cell r="D1350">
            <v>2500000</v>
          </cell>
          <cell r="E1350">
            <v>1085338232</v>
          </cell>
          <cell r="F1350" t="str">
            <v>CLAUDIA DANIELA PAZ  RIVERA</v>
          </cell>
        </row>
        <row r="1351">
          <cell r="A1351">
            <v>45645</v>
          </cell>
          <cell r="B1351">
            <v>2024003384</v>
          </cell>
          <cell r="C1351" t="str">
            <v>1016-2024</v>
          </cell>
          <cell r="D1351">
            <v>4825000</v>
          </cell>
          <cell r="E1351">
            <v>37086141</v>
          </cell>
          <cell r="F1351" t="str">
            <v>MARIA FERNANDA ERAZO SANCHEZ</v>
          </cell>
        </row>
        <row r="1352">
          <cell r="A1352">
            <v>45645</v>
          </cell>
          <cell r="B1352">
            <v>2024003385</v>
          </cell>
          <cell r="C1352" t="str">
            <v>842-2024</v>
          </cell>
          <cell r="D1352">
            <v>4825000</v>
          </cell>
          <cell r="E1352">
            <v>59310145</v>
          </cell>
          <cell r="F1352" t="str">
            <v>EDITH ANGELICA LOPEZ VILLARREAL</v>
          </cell>
        </row>
        <row r="1353">
          <cell r="A1353">
            <v>45645</v>
          </cell>
          <cell r="B1353">
            <v>2024003386</v>
          </cell>
          <cell r="C1353" t="str">
            <v>700-2024</v>
          </cell>
          <cell r="D1353">
            <v>4825000</v>
          </cell>
          <cell r="E1353">
            <v>1193385736</v>
          </cell>
          <cell r="F1353" t="str">
            <v>JHONNY  ALEXANDER SEPULVEDA DUERO</v>
          </cell>
        </row>
        <row r="1354">
          <cell r="A1354">
            <v>45645</v>
          </cell>
          <cell r="B1354">
            <v>2024003387</v>
          </cell>
          <cell r="C1354" t="str">
            <v>1005-2024</v>
          </cell>
          <cell r="D1354">
            <v>7540000</v>
          </cell>
          <cell r="E1354">
            <v>1085300619</v>
          </cell>
          <cell r="F1354" t="str">
            <v>BUITRAGO ALZATE JERSON ALBEIRO</v>
          </cell>
        </row>
        <row r="1355">
          <cell r="A1355">
            <v>45645</v>
          </cell>
          <cell r="B1355">
            <v>2024003388</v>
          </cell>
          <cell r="C1355" t="str">
            <v>902-2024</v>
          </cell>
          <cell r="D1355">
            <v>4750000</v>
          </cell>
          <cell r="E1355">
            <v>1086332188</v>
          </cell>
          <cell r="F1355" t="str">
            <v>CARLOS  ALBERTO ZAMBRANO VARGAS</v>
          </cell>
        </row>
        <row r="1356">
          <cell r="A1356">
            <v>45645</v>
          </cell>
          <cell r="B1356">
            <v>2024003390</v>
          </cell>
          <cell r="C1356" t="str">
            <v>738-2024</v>
          </cell>
          <cell r="D1356">
            <v>6000000</v>
          </cell>
          <cell r="E1356">
            <v>1085275879</v>
          </cell>
          <cell r="F1356" t="str">
            <v>DANIELA FERNANDA ERASO VALENCIA</v>
          </cell>
        </row>
        <row r="1357">
          <cell r="A1357">
            <v>45645</v>
          </cell>
          <cell r="B1357">
            <v>2024003391</v>
          </cell>
          <cell r="C1357" t="str">
            <v>838-2024</v>
          </cell>
          <cell r="D1357">
            <v>2500000</v>
          </cell>
          <cell r="E1357">
            <v>1085337465</v>
          </cell>
          <cell r="F1357" t="str">
            <v>LESLY NATHALIA MAIGUAL JURADO</v>
          </cell>
        </row>
        <row r="1358">
          <cell r="A1358">
            <v>45645</v>
          </cell>
          <cell r="B1358">
            <v>2024003392</v>
          </cell>
          <cell r="C1358" t="str">
            <v>828-2024</v>
          </cell>
          <cell r="D1358">
            <v>2500000</v>
          </cell>
          <cell r="E1358">
            <v>27090145</v>
          </cell>
          <cell r="F1358" t="str">
            <v>SANDRA PAOLA ROMO JURADO</v>
          </cell>
        </row>
        <row r="1359">
          <cell r="A1359">
            <v>45645</v>
          </cell>
          <cell r="B1359">
            <v>2024003393</v>
          </cell>
          <cell r="C1359" t="str">
            <v>812-2024</v>
          </cell>
          <cell r="D1359">
            <v>3000000</v>
          </cell>
          <cell r="E1359">
            <v>59837416</v>
          </cell>
          <cell r="F1359" t="str">
            <v>RUTH INGRITH DIAZ VALERO</v>
          </cell>
        </row>
        <row r="1360">
          <cell r="A1360">
            <v>45645</v>
          </cell>
          <cell r="B1360">
            <v>2024003394</v>
          </cell>
          <cell r="C1360" t="str">
            <v>671-2024</v>
          </cell>
          <cell r="D1360">
            <v>7540000</v>
          </cell>
          <cell r="E1360">
            <v>1006946167</v>
          </cell>
          <cell r="F1360" t="str">
            <v>LIZETH MARCELA ORTÌZ MUÑOZ</v>
          </cell>
        </row>
        <row r="1361">
          <cell r="A1361">
            <v>45645</v>
          </cell>
          <cell r="B1361">
            <v>2024003395</v>
          </cell>
          <cell r="C1361" t="str">
            <v>926-2024</v>
          </cell>
          <cell r="D1361">
            <v>4825000</v>
          </cell>
          <cell r="E1361">
            <v>1085324891</v>
          </cell>
          <cell r="F1361" t="str">
            <v>NICOLAS ALEJANDRO ROSERO MORILLO</v>
          </cell>
        </row>
        <row r="1362">
          <cell r="A1362">
            <v>45645</v>
          </cell>
          <cell r="B1362">
            <v>2024003396</v>
          </cell>
          <cell r="C1362" t="str">
            <v>827-2024</v>
          </cell>
          <cell r="D1362">
            <v>2500000</v>
          </cell>
          <cell r="E1362">
            <v>1081273343</v>
          </cell>
          <cell r="F1362" t="str">
            <v>MARIA FERNANDA VASQUEZ ARGOTI</v>
          </cell>
        </row>
        <row r="1363">
          <cell r="A1363">
            <v>45645</v>
          </cell>
          <cell r="B1363">
            <v>2024003397</v>
          </cell>
          <cell r="C1363" t="str">
            <v>1052-2024</v>
          </cell>
          <cell r="D1363">
            <v>600000</v>
          </cell>
          <cell r="E1363">
            <v>87030128</v>
          </cell>
          <cell r="F1363" t="str">
            <v>YONATAN  MENA GRIJALBA</v>
          </cell>
        </row>
        <row r="1364">
          <cell r="A1364">
            <v>45645</v>
          </cell>
          <cell r="B1364">
            <v>2024003398</v>
          </cell>
          <cell r="C1364" t="str">
            <v>1052-2024</v>
          </cell>
          <cell r="D1364">
            <v>3000000</v>
          </cell>
          <cell r="E1364">
            <v>87030128</v>
          </cell>
          <cell r="F1364" t="str">
            <v>YONATAN  MENA GRIJALBA</v>
          </cell>
        </row>
        <row r="1365">
          <cell r="A1365">
            <v>45645</v>
          </cell>
          <cell r="B1365">
            <v>2024003399</v>
          </cell>
          <cell r="C1365" t="str">
            <v>765-2024</v>
          </cell>
          <cell r="D1365">
            <v>3000000</v>
          </cell>
          <cell r="E1365">
            <v>59178610</v>
          </cell>
          <cell r="F1365" t="str">
            <v>MONICA PATRICIA PANTOJA DUEÑAS</v>
          </cell>
        </row>
        <row r="1366">
          <cell r="A1366">
            <v>45645</v>
          </cell>
          <cell r="B1366">
            <v>2024003400</v>
          </cell>
          <cell r="C1366" t="str">
            <v>885-2024</v>
          </cell>
          <cell r="D1366">
            <v>2500000</v>
          </cell>
          <cell r="E1366">
            <v>1085289798</v>
          </cell>
          <cell r="F1366" t="str">
            <v>DIEGO FERNANDO DELGADO ERASO</v>
          </cell>
        </row>
        <row r="1367">
          <cell r="A1367">
            <v>45645</v>
          </cell>
          <cell r="B1367">
            <v>2024003401</v>
          </cell>
          <cell r="C1367" t="str">
            <v>637-2024</v>
          </cell>
          <cell r="D1367">
            <v>4750000</v>
          </cell>
          <cell r="E1367">
            <v>1085293619</v>
          </cell>
          <cell r="F1367" t="str">
            <v>JERALDINE  BASTIDAS OCAÑA</v>
          </cell>
        </row>
        <row r="1368">
          <cell r="A1368">
            <v>45645</v>
          </cell>
          <cell r="B1368">
            <v>2024003402</v>
          </cell>
          <cell r="C1368" t="str">
            <v>935-2024</v>
          </cell>
          <cell r="D1368">
            <v>1500000</v>
          </cell>
          <cell r="E1368">
            <v>1085346528</v>
          </cell>
          <cell r="F1368" t="str">
            <v>JUDDY GABRIELA PIANDA PISCAL</v>
          </cell>
        </row>
        <row r="1369">
          <cell r="A1369">
            <v>45645</v>
          </cell>
          <cell r="B1369">
            <v>2024003403</v>
          </cell>
          <cell r="C1369" t="str">
            <v>935-2024</v>
          </cell>
          <cell r="D1369">
            <v>3000000</v>
          </cell>
          <cell r="E1369">
            <v>1085346528</v>
          </cell>
          <cell r="F1369" t="str">
            <v>JUDDY GABRIELA PIANDA PISCAL</v>
          </cell>
        </row>
        <row r="1370">
          <cell r="A1370">
            <v>45645</v>
          </cell>
          <cell r="B1370">
            <v>2024003404</v>
          </cell>
          <cell r="C1370" t="str">
            <v>1055-2024</v>
          </cell>
          <cell r="D1370">
            <v>1000000</v>
          </cell>
          <cell r="E1370">
            <v>1004437571</v>
          </cell>
          <cell r="F1370" t="str">
            <v>JULIANA ANDREA PAZ JOJOA</v>
          </cell>
        </row>
        <row r="1371">
          <cell r="A1371">
            <v>45645</v>
          </cell>
          <cell r="B1371">
            <v>2024003405</v>
          </cell>
          <cell r="C1371" t="str">
            <v>831-2024</v>
          </cell>
          <cell r="D1371">
            <v>3000000</v>
          </cell>
          <cell r="E1371">
            <v>1085286725</v>
          </cell>
          <cell r="F1371" t="str">
            <v>DIANA CAROLINA ORTEGA CAICEDO</v>
          </cell>
        </row>
        <row r="1372">
          <cell r="A1372">
            <v>45645</v>
          </cell>
          <cell r="B1372">
            <v>2024003406</v>
          </cell>
          <cell r="C1372" t="str">
            <v>974-2024</v>
          </cell>
          <cell r="D1372">
            <v>4750000</v>
          </cell>
          <cell r="E1372">
            <v>1085245714</v>
          </cell>
          <cell r="F1372" t="str">
            <v>MONICA NATALY PALACIOS  BASTIDAS</v>
          </cell>
        </row>
        <row r="1373">
          <cell r="A1373">
            <v>45645</v>
          </cell>
          <cell r="B1373">
            <v>2024003408</v>
          </cell>
          <cell r="C1373" t="str">
            <v>932-2024</v>
          </cell>
          <cell r="D1373">
            <v>4825000</v>
          </cell>
          <cell r="E1373">
            <v>1081595485</v>
          </cell>
          <cell r="F1373" t="str">
            <v>ALEXA DAYANA CERON BRAVO</v>
          </cell>
        </row>
        <row r="1374">
          <cell r="A1374">
            <v>45645</v>
          </cell>
          <cell r="B1374">
            <v>2024003410</v>
          </cell>
          <cell r="C1374" t="str">
            <v>879-2024</v>
          </cell>
          <cell r="D1374">
            <v>7540000</v>
          </cell>
          <cell r="E1374">
            <v>79800150</v>
          </cell>
          <cell r="F1374" t="str">
            <v>NELSON FREDY ARCINIEGAS ORTIZ</v>
          </cell>
        </row>
        <row r="1375">
          <cell r="A1375">
            <v>45645</v>
          </cell>
          <cell r="B1375">
            <v>2024003412</v>
          </cell>
          <cell r="C1375" t="str">
            <v>1047-2024</v>
          </cell>
          <cell r="D1375">
            <v>600000</v>
          </cell>
          <cell r="E1375">
            <v>13069881</v>
          </cell>
          <cell r="F1375" t="str">
            <v>FRAN GIOVANNY GETIAL CHICAIZA</v>
          </cell>
        </row>
        <row r="1376">
          <cell r="A1376">
            <v>45645</v>
          </cell>
          <cell r="B1376">
            <v>2024003414</v>
          </cell>
          <cell r="C1376" t="str">
            <v>680-2024</v>
          </cell>
          <cell r="D1376">
            <v>6000000</v>
          </cell>
          <cell r="E1376">
            <v>59836926</v>
          </cell>
          <cell r="F1376" t="str">
            <v>DEYANIRA  BADOS DAZA</v>
          </cell>
        </row>
        <row r="1377">
          <cell r="A1377">
            <v>45645</v>
          </cell>
          <cell r="B1377">
            <v>2024003416</v>
          </cell>
          <cell r="C1377" t="str">
            <v>899-2024</v>
          </cell>
          <cell r="D1377">
            <v>2500000</v>
          </cell>
          <cell r="E1377">
            <v>1081052090</v>
          </cell>
          <cell r="F1377" t="str">
            <v>DIANA CAROLINA TISOY CHASOY</v>
          </cell>
        </row>
        <row r="1378">
          <cell r="A1378">
            <v>45645</v>
          </cell>
          <cell r="B1378">
            <v>2024003418</v>
          </cell>
          <cell r="C1378" t="str">
            <v>1054-2024</v>
          </cell>
          <cell r="D1378">
            <v>1200000</v>
          </cell>
          <cell r="E1378">
            <v>1084228089</v>
          </cell>
          <cell r="F1378" t="str">
            <v>JINNETH PAOLA LOPEZ AGUIRRE</v>
          </cell>
        </row>
        <row r="1379">
          <cell r="A1379">
            <v>45645</v>
          </cell>
          <cell r="B1379">
            <v>2024003419</v>
          </cell>
          <cell r="C1379" t="str">
            <v>887-2024</v>
          </cell>
          <cell r="D1379">
            <v>7540000</v>
          </cell>
          <cell r="E1379">
            <v>87940284</v>
          </cell>
          <cell r="F1379" t="str">
            <v>JOHNNY ALCIBIADES SOTOMAYOR PRECIADO</v>
          </cell>
        </row>
        <row r="1380">
          <cell r="A1380">
            <v>45645</v>
          </cell>
          <cell r="B1380">
            <v>2024003420</v>
          </cell>
          <cell r="C1380" t="str">
            <v>668-2024</v>
          </cell>
          <cell r="D1380">
            <v>7540000</v>
          </cell>
          <cell r="E1380">
            <v>1193279435</v>
          </cell>
          <cell r="F1380" t="str">
            <v>ANGELA SOFIA ORDOÑEZ BENAVIDES</v>
          </cell>
        </row>
        <row r="1381">
          <cell r="A1381">
            <v>45646</v>
          </cell>
          <cell r="B1381">
            <v>2024003433</v>
          </cell>
          <cell r="C1381" t="str">
            <v>669-2024</v>
          </cell>
          <cell r="D1381">
            <v>6000000</v>
          </cell>
          <cell r="E1381">
            <v>1085253062</v>
          </cell>
          <cell r="F1381" t="str">
            <v>LILIANA MAYER BOTINA CRIOLLO</v>
          </cell>
        </row>
        <row r="1382">
          <cell r="A1382">
            <v>45646</v>
          </cell>
          <cell r="B1382">
            <v>2024003435</v>
          </cell>
          <cell r="C1382" t="str">
            <v>777-2024</v>
          </cell>
          <cell r="D1382">
            <v>3000000</v>
          </cell>
          <cell r="E1382">
            <v>1004592366</v>
          </cell>
          <cell r="F1382" t="str">
            <v>IBONNE ALEJANDRA SILVA ARAUJO</v>
          </cell>
        </row>
        <row r="1383">
          <cell r="A1383">
            <v>45646</v>
          </cell>
          <cell r="B1383">
            <v>2024003439</v>
          </cell>
          <cell r="C1383" t="str">
            <v>698-2024</v>
          </cell>
          <cell r="D1383">
            <v>3000000</v>
          </cell>
          <cell r="E1383">
            <v>1004232508</v>
          </cell>
          <cell r="F1383" t="str">
            <v>PABLO JOSÉ BADOS LÒPEZ</v>
          </cell>
        </row>
        <row r="1384">
          <cell r="A1384">
            <v>45646</v>
          </cell>
          <cell r="B1384">
            <v>2024003443</v>
          </cell>
          <cell r="C1384" t="str">
            <v>850-2024</v>
          </cell>
          <cell r="D1384">
            <v>3000000</v>
          </cell>
          <cell r="E1384">
            <v>1085325718</v>
          </cell>
          <cell r="F1384" t="str">
            <v>JUAN FERNANDO ZARAMA SILVA</v>
          </cell>
        </row>
        <row r="1385">
          <cell r="A1385">
            <v>45646</v>
          </cell>
          <cell r="B1385">
            <v>2024003446</v>
          </cell>
          <cell r="C1385" t="str">
            <v>749-2024</v>
          </cell>
          <cell r="D1385">
            <v>3000000</v>
          </cell>
          <cell r="E1385">
            <v>1085266584</v>
          </cell>
          <cell r="F1385" t="str">
            <v>MARIA ALEJANDRA BENAVIDES AYALA</v>
          </cell>
        </row>
        <row r="1386">
          <cell r="A1386">
            <v>45646</v>
          </cell>
          <cell r="B1386">
            <v>2024003449</v>
          </cell>
          <cell r="C1386" t="str">
            <v>672-2024</v>
          </cell>
          <cell r="D1386">
            <v>6000000</v>
          </cell>
          <cell r="E1386">
            <v>1085254626</v>
          </cell>
          <cell r="F1386" t="str">
            <v>CAROLINA ISABEL PORTILLA TEPUD</v>
          </cell>
        </row>
        <row r="1387">
          <cell r="A1387">
            <v>45646</v>
          </cell>
          <cell r="B1387">
            <v>2024003453</v>
          </cell>
          <cell r="C1387" t="str">
            <v>807-2024</v>
          </cell>
          <cell r="D1387">
            <v>3000000</v>
          </cell>
          <cell r="E1387">
            <v>1004131976</v>
          </cell>
          <cell r="F1387" t="str">
            <v>LUISA CAROLINA SANTACRUZ SANTACRUZ</v>
          </cell>
        </row>
        <row r="1388">
          <cell r="A1388">
            <v>45649</v>
          </cell>
          <cell r="B1388">
            <v>2024003483</v>
          </cell>
          <cell r="C1388" t="str">
            <v>1020-2024</v>
          </cell>
          <cell r="D1388">
            <v>4750000</v>
          </cell>
          <cell r="E1388">
            <v>1085326561</v>
          </cell>
          <cell r="F1388" t="str">
            <v>KATHERINE CAMILA URIBE BURBANO</v>
          </cell>
        </row>
        <row r="1389">
          <cell r="A1389">
            <v>45649</v>
          </cell>
          <cell r="B1389">
            <v>2024003484</v>
          </cell>
          <cell r="C1389" t="str">
            <v>878-2024</v>
          </cell>
          <cell r="D1389">
            <v>7540000</v>
          </cell>
          <cell r="E1389">
            <v>1233191998</v>
          </cell>
          <cell r="F1389" t="str">
            <v>ANYELI KATHERINE CORAL MORA</v>
          </cell>
        </row>
        <row r="1390">
          <cell r="A1390">
            <v>45649</v>
          </cell>
          <cell r="B1390">
            <v>2024003485</v>
          </cell>
          <cell r="C1390" t="str">
            <v>829-2024</v>
          </cell>
          <cell r="D1390">
            <v>3000000</v>
          </cell>
          <cell r="E1390">
            <v>30743783</v>
          </cell>
          <cell r="F1390" t="str">
            <v>JAQUELINE  MELO MOSQUERA</v>
          </cell>
        </row>
        <row r="1391">
          <cell r="A1391">
            <v>45649</v>
          </cell>
          <cell r="B1391">
            <v>2024003486</v>
          </cell>
          <cell r="C1391" t="str">
            <v>985-2024</v>
          </cell>
          <cell r="D1391">
            <v>4750000</v>
          </cell>
          <cell r="E1391">
            <v>1067940322</v>
          </cell>
          <cell r="F1391" t="str">
            <v>KAREN  CRISTINA MOSQUERA HERNANDEZ</v>
          </cell>
        </row>
        <row r="1392">
          <cell r="A1392">
            <v>45649</v>
          </cell>
          <cell r="B1392">
            <v>2024003487</v>
          </cell>
          <cell r="C1392" t="str">
            <v>670-2024</v>
          </cell>
          <cell r="D1392">
            <v>6000000</v>
          </cell>
          <cell r="E1392">
            <v>1085337232</v>
          </cell>
          <cell r="F1392" t="str">
            <v>JHON SEBASTIAN NARVAEZ DEJOY</v>
          </cell>
        </row>
        <row r="1393">
          <cell r="A1393">
            <v>45649</v>
          </cell>
          <cell r="B1393">
            <v>2024003488</v>
          </cell>
          <cell r="C1393" t="str">
            <v>756-2024</v>
          </cell>
          <cell r="D1393">
            <v>3000000</v>
          </cell>
          <cell r="E1393">
            <v>1193271854</v>
          </cell>
          <cell r="F1393" t="str">
            <v>JUANITA MAYLIN VELASQUEZ REVELO</v>
          </cell>
        </row>
        <row r="1394">
          <cell r="A1394">
            <v>45649</v>
          </cell>
          <cell r="B1394">
            <v>2024003490</v>
          </cell>
          <cell r="C1394" t="str">
            <v>648-2024</v>
          </cell>
          <cell r="D1394">
            <v>6000000</v>
          </cell>
          <cell r="E1394">
            <v>59837608</v>
          </cell>
          <cell r="F1394" t="str">
            <v>ALBA DENIS ARGOTY SANTACRUZ</v>
          </cell>
        </row>
        <row r="1395">
          <cell r="A1395">
            <v>45649</v>
          </cell>
          <cell r="B1395">
            <v>2024003492</v>
          </cell>
          <cell r="C1395" t="str">
            <v>882-2024</v>
          </cell>
          <cell r="D1395">
            <v>3000000</v>
          </cell>
          <cell r="E1395">
            <v>1085310350</v>
          </cell>
          <cell r="F1395" t="str">
            <v>DANIELA  DELGADO CHAMORRO</v>
          </cell>
        </row>
        <row r="1396">
          <cell r="A1396">
            <v>45649</v>
          </cell>
          <cell r="B1396">
            <v>2024003494</v>
          </cell>
          <cell r="C1396" t="str">
            <v>1006-2024</v>
          </cell>
          <cell r="D1396">
            <v>4750000</v>
          </cell>
          <cell r="E1396">
            <v>1233188873</v>
          </cell>
          <cell r="F1396" t="str">
            <v>DIANA MARCELA MELO ERASO</v>
          </cell>
        </row>
        <row r="1397">
          <cell r="A1397">
            <v>45649</v>
          </cell>
          <cell r="B1397">
            <v>2024003495</v>
          </cell>
          <cell r="C1397" t="str">
            <v>846-2024</v>
          </cell>
          <cell r="D1397">
            <v>3000000</v>
          </cell>
          <cell r="E1397">
            <v>1010082397</v>
          </cell>
          <cell r="F1397" t="str">
            <v>JAQUELINE CAMILA GENOY VILLOTA</v>
          </cell>
        </row>
        <row r="1398">
          <cell r="A1398">
            <v>45649</v>
          </cell>
          <cell r="B1398">
            <v>2024003497</v>
          </cell>
          <cell r="C1398" t="str">
            <v>667-2024</v>
          </cell>
          <cell r="D1398">
            <v>6000000</v>
          </cell>
          <cell r="E1398">
            <v>59820414</v>
          </cell>
          <cell r="F1398" t="str">
            <v>CORDOBA ARTEAGA CARMEN PATRICIA</v>
          </cell>
        </row>
        <row r="1399">
          <cell r="A1399">
            <v>45649</v>
          </cell>
          <cell r="B1399">
            <v>2024003498</v>
          </cell>
          <cell r="C1399" t="str">
            <v>1012-2024</v>
          </cell>
          <cell r="D1399">
            <v>2500000</v>
          </cell>
          <cell r="E1399">
            <v>1088729401</v>
          </cell>
          <cell r="F1399" t="str">
            <v>CARLOS ANDRES PANTOJA BENAVIDES</v>
          </cell>
        </row>
        <row r="1400">
          <cell r="A1400">
            <v>45649</v>
          </cell>
          <cell r="B1400">
            <v>2024003500</v>
          </cell>
          <cell r="C1400" t="str">
            <v>706-2024</v>
          </cell>
          <cell r="D1400">
            <v>3000000</v>
          </cell>
          <cell r="E1400">
            <v>36757213</v>
          </cell>
          <cell r="F1400" t="str">
            <v>MONICA DEL ROCIO ERAZO RUIZ</v>
          </cell>
        </row>
        <row r="1401">
          <cell r="A1401">
            <v>45649</v>
          </cell>
          <cell r="B1401">
            <v>2024003501</v>
          </cell>
          <cell r="C1401" t="str">
            <v>776-2024</v>
          </cell>
          <cell r="D1401">
            <v>3000000</v>
          </cell>
          <cell r="E1401">
            <v>59830040</v>
          </cell>
          <cell r="F1401" t="str">
            <v>ANA CLEMENCIA BASTIDAS CERON</v>
          </cell>
        </row>
        <row r="1402">
          <cell r="A1402">
            <v>45649</v>
          </cell>
          <cell r="B1402">
            <v>2024003502</v>
          </cell>
          <cell r="C1402" t="str">
            <v>795-2024</v>
          </cell>
          <cell r="D1402">
            <v>3000000</v>
          </cell>
          <cell r="E1402">
            <v>27285974</v>
          </cell>
          <cell r="F1402" t="str">
            <v>LUZDARI  JARAMILLO NOGUERA</v>
          </cell>
        </row>
        <row r="1403">
          <cell r="A1403">
            <v>45649</v>
          </cell>
          <cell r="B1403">
            <v>2024003504</v>
          </cell>
          <cell r="C1403" t="str">
            <v>794-2024</v>
          </cell>
          <cell r="D1403">
            <v>3000000</v>
          </cell>
          <cell r="E1403">
            <v>1010085543</v>
          </cell>
          <cell r="F1403" t="str">
            <v>DANIELA VANESA MONTANCHEZ GOMAJOA</v>
          </cell>
        </row>
        <row r="1404">
          <cell r="A1404">
            <v>45649</v>
          </cell>
          <cell r="B1404">
            <v>2024003505</v>
          </cell>
          <cell r="C1404" t="str">
            <v>809-2024</v>
          </cell>
          <cell r="D1404">
            <v>3000000</v>
          </cell>
          <cell r="E1404">
            <v>1085288636</v>
          </cell>
          <cell r="F1404" t="str">
            <v>DIANA SOFIA AYALA DIAZ</v>
          </cell>
        </row>
        <row r="1405">
          <cell r="A1405">
            <v>45649</v>
          </cell>
          <cell r="B1405">
            <v>2024003506</v>
          </cell>
          <cell r="C1405" t="str">
            <v>803-2024</v>
          </cell>
          <cell r="D1405">
            <v>3000000</v>
          </cell>
          <cell r="E1405">
            <v>1144206777</v>
          </cell>
          <cell r="F1405" t="str">
            <v>BRYAN ANDRES BASTIDAS RUALES</v>
          </cell>
        </row>
        <row r="1406">
          <cell r="A1406">
            <v>45649</v>
          </cell>
          <cell r="B1406">
            <v>2024003507</v>
          </cell>
          <cell r="C1406" t="str">
            <v>996-2024</v>
          </cell>
          <cell r="D1406">
            <v>4750000</v>
          </cell>
          <cell r="E1406">
            <v>59824800</v>
          </cell>
          <cell r="F1406" t="str">
            <v>GRECIA INES ANGEL DIOSA</v>
          </cell>
        </row>
        <row r="1407">
          <cell r="A1407">
            <v>45649</v>
          </cell>
          <cell r="B1407">
            <v>2024003509</v>
          </cell>
          <cell r="C1407" t="str">
            <v>956-2024</v>
          </cell>
          <cell r="D1407">
            <v>3000000</v>
          </cell>
          <cell r="E1407">
            <v>1089846829</v>
          </cell>
          <cell r="F1407" t="str">
            <v>LUZ ADRIANA CERON BASANTE</v>
          </cell>
        </row>
        <row r="1408">
          <cell r="A1408">
            <v>45649</v>
          </cell>
          <cell r="B1408">
            <v>2024003510</v>
          </cell>
          <cell r="C1408" t="str">
            <v>833-2024</v>
          </cell>
          <cell r="D1408">
            <v>3000000</v>
          </cell>
          <cell r="E1408">
            <v>27082649</v>
          </cell>
          <cell r="F1408" t="str">
            <v xml:space="preserve">PATRICIA MARIBEL MARTINEZ </v>
          </cell>
        </row>
        <row r="1409">
          <cell r="A1409">
            <v>45649</v>
          </cell>
          <cell r="B1409">
            <v>2024003512</v>
          </cell>
          <cell r="C1409" t="str">
            <v>715-2024</v>
          </cell>
          <cell r="D1409">
            <v>3000000</v>
          </cell>
          <cell r="E1409">
            <v>36758143</v>
          </cell>
          <cell r="F1409" t="str">
            <v>LUCERITO DEL CARMEN REVELO BENAVIDES</v>
          </cell>
        </row>
        <row r="1410">
          <cell r="A1410">
            <v>45649</v>
          </cell>
          <cell r="B1410">
            <v>2024003514</v>
          </cell>
          <cell r="C1410" t="str">
            <v>841-2024</v>
          </cell>
          <cell r="D1410">
            <v>4825000</v>
          </cell>
          <cell r="E1410">
            <v>1085291221</v>
          </cell>
          <cell r="F1410" t="str">
            <v>ELIZABETH ALEJANDRA TOBAR MORAN</v>
          </cell>
        </row>
        <row r="1411">
          <cell r="A1411">
            <v>45649</v>
          </cell>
          <cell r="B1411">
            <v>2024003516</v>
          </cell>
          <cell r="C1411" t="str">
            <v>652-2024</v>
          </cell>
          <cell r="D1411">
            <v>6000000</v>
          </cell>
          <cell r="E1411">
            <v>1010010954</v>
          </cell>
          <cell r="F1411" t="str">
            <v>JULIANA VALENTINA MENDEZ ORTÍZ</v>
          </cell>
        </row>
        <row r="1412">
          <cell r="A1412">
            <v>45649</v>
          </cell>
          <cell r="B1412">
            <v>2024003518</v>
          </cell>
          <cell r="C1412" t="str">
            <v>727-2024</v>
          </cell>
          <cell r="D1412">
            <v>3000000</v>
          </cell>
          <cell r="E1412">
            <v>1089243630</v>
          </cell>
          <cell r="F1412" t="str">
            <v>YENIFER NAYIBE MENESES TOBAR</v>
          </cell>
        </row>
        <row r="1413">
          <cell r="A1413">
            <v>45649</v>
          </cell>
          <cell r="B1413">
            <v>2024003520</v>
          </cell>
          <cell r="C1413" t="str">
            <v>836-2024</v>
          </cell>
          <cell r="D1413">
            <v>2500000</v>
          </cell>
          <cell r="E1413">
            <v>12750863</v>
          </cell>
          <cell r="F1413" t="str">
            <v>MARIO ANDRES ROSAS  ENRIQUEZ</v>
          </cell>
        </row>
        <row r="1414">
          <cell r="A1414">
            <v>45649</v>
          </cell>
          <cell r="B1414">
            <v>2024003521</v>
          </cell>
          <cell r="C1414" t="str">
            <v>847-2024</v>
          </cell>
          <cell r="D1414">
            <v>3000000</v>
          </cell>
          <cell r="E1414">
            <v>1080040858</v>
          </cell>
          <cell r="F1414" t="str">
            <v>YEIMY ANABELY MONCAYO ARTEAGA</v>
          </cell>
        </row>
        <row r="1415">
          <cell r="A1415">
            <v>45649</v>
          </cell>
          <cell r="B1415">
            <v>2024003522</v>
          </cell>
          <cell r="C1415" t="str">
            <v>650-2024</v>
          </cell>
          <cell r="D1415">
            <v>6000000</v>
          </cell>
          <cell r="E1415">
            <v>97470681</v>
          </cell>
          <cell r="F1415" t="str">
            <v>FERNANDO TEOFILO ROSERO PATIÑO</v>
          </cell>
        </row>
        <row r="1416">
          <cell r="A1416">
            <v>45649</v>
          </cell>
          <cell r="B1416">
            <v>2024003523</v>
          </cell>
          <cell r="C1416" t="str">
            <v>709-2024</v>
          </cell>
          <cell r="D1416">
            <v>4750000</v>
          </cell>
          <cell r="E1416">
            <v>1193383306</v>
          </cell>
          <cell r="F1416" t="str">
            <v>MARIA  DE LOS ANGELES ACOSTA ROSERO</v>
          </cell>
        </row>
        <row r="1417">
          <cell r="A1417">
            <v>45649</v>
          </cell>
          <cell r="B1417">
            <v>2024003524</v>
          </cell>
          <cell r="C1417" t="str">
            <v>906-2024</v>
          </cell>
          <cell r="D1417">
            <v>4750000</v>
          </cell>
          <cell r="E1417">
            <v>59651018</v>
          </cell>
          <cell r="F1417" t="str">
            <v>DIANA MARIA ERASO ALAVA</v>
          </cell>
        </row>
        <row r="1418">
          <cell r="A1418">
            <v>45649</v>
          </cell>
          <cell r="B1418">
            <v>2024003528</v>
          </cell>
          <cell r="C1418" t="str">
            <v>707-2024</v>
          </cell>
          <cell r="D1418">
            <v>4750000</v>
          </cell>
          <cell r="E1418">
            <v>36953206</v>
          </cell>
          <cell r="F1418" t="str">
            <v>NATALIA ANDREA LATORRE RUANO</v>
          </cell>
        </row>
        <row r="1419">
          <cell r="A1419">
            <v>45649</v>
          </cell>
          <cell r="B1419">
            <v>2024003531</v>
          </cell>
          <cell r="C1419" t="str">
            <v>822-2024</v>
          </cell>
          <cell r="D1419">
            <v>4825000</v>
          </cell>
          <cell r="E1419">
            <v>1085273986</v>
          </cell>
          <cell r="F1419" t="str">
            <v>LENY PATRICIA DELGADO BASTIDAS</v>
          </cell>
        </row>
        <row r="1420">
          <cell r="A1420">
            <v>45649</v>
          </cell>
          <cell r="B1420">
            <v>2024003533</v>
          </cell>
          <cell r="C1420" t="str">
            <v>681-2024</v>
          </cell>
          <cell r="D1420">
            <v>6000000</v>
          </cell>
          <cell r="E1420">
            <v>1085246134</v>
          </cell>
          <cell r="F1420" t="str">
            <v>DIANA CAROLINA ROSERO CONCHA</v>
          </cell>
        </row>
        <row r="1421">
          <cell r="A1421">
            <v>45649</v>
          </cell>
          <cell r="B1421">
            <v>2024003534</v>
          </cell>
          <cell r="C1421" t="str">
            <v>754-2024</v>
          </cell>
          <cell r="D1421">
            <v>3000000</v>
          </cell>
          <cell r="E1421">
            <v>1085327701</v>
          </cell>
          <cell r="F1421" t="str">
            <v>MARIA JOSE LEITON ZUTTA</v>
          </cell>
        </row>
        <row r="1422">
          <cell r="A1422">
            <v>45649</v>
          </cell>
          <cell r="B1422">
            <v>2024003535</v>
          </cell>
          <cell r="C1422" t="str">
            <v>817-2024</v>
          </cell>
          <cell r="D1422">
            <v>4825000</v>
          </cell>
          <cell r="E1422">
            <v>1085283723</v>
          </cell>
          <cell r="F1422" t="str">
            <v>DANIEL  ALEJANDRO ESCOBAR  ANDRADE</v>
          </cell>
        </row>
        <row r="1423">
          <cell r="A1423">
            <v>45649</v>
          </cell>
          <cell r="B1423">
            <v>2024003536</v>
          </cell>
          <cell r="C1423" t="str">
            <v>694-2024</v>
          </cell>
          <cell r="D1423">
            <v>3000000</v>
          </cell>
          <cell r="E1423">
            <v>1086362994</v>
          </cell>
          <cell r="F1423" t="str">
            <v>SARA  VICTORIA ALVAREZ FIGUEROA</v>
          </cell>
        </row>
        <row r="1424">
          <cell r="A1424">
            <v>45649</v>
          </cell>
          <cell r="B1424">
            <v>2024003537</v>
          </cell>
          <cell r="C1424" t="str">
            <v>771-2024</v>
          </cell>
          <cell r="D1424">
            <v>3000000</v>
          </cell>
          <cell r="E1424">
            <v>59834953</v>
          </cell>
          <cell r="F1424" t="str">
            <v>PATRICIA YOLANDA PAZ  DELGADO</v>
          </cell>
        </row>
        <row r="1425">
          <cell r="A1425">
            <v>45649</v>
          </cell>
          <cell r="B1425">
            <v>2024003538</v>
          </cell>
          <cell r="C1425" t="str">
            <v>684-2024</v>
          </cell>
          <cell r="D1425">
            <v>4825000</v>
          </cell>
          <cell r="E1425">
            <v>30733517</v>
          </cell>
          <cell r="F1425" t="str">
            <v>CARMEN  LILIANA ARCINIEGAS LÒPEZ</v>
          </cell>
        </row>
        <row r="1426">
          <cell r="A1426">
            <v>45649</v>
          </cell>
          <cell r="B1426">
            <v>2024003539</v>
          </cell>
          <cell r="C1426" t="str">
            <v>761-2024</v>
          </cell>
          <cell r="D1426">
            <v>3000000</v>
          </cell>
          <cell r="E1426">
            <v>1233189234</v>
          </cell>
          <cell r="F1426" t="str">
            <v>YULLI KAROLINA CASTILLO PAZ</v>
          </cell>
        </row>
        <row r="1427">
          <cell r="A1427">
            <v>45649</v>
          </cell>
          <cell r="B1427">
            <v>2024003540</v>
          </cell>
          <cell r="C1427" t="str">
            <v>1004-2024</v>
          </cell>
          <cell r="D1427">
            <v>7540000</v>
          </cell>
          <cell r="E1427">
            <v>1085317791</v>
          </cell>
          <cell r="F1427" t="str">
            <v>CATALINA  MARTINEZ RAMOS</v>
          </cell>
        </row>
        <row r="1428">
          <cell r="A1428">
            <v>45649</v>
          </cell>
          <cell r="B1428">
            <v>2024003541</v>
          </cell>
          <cell r="C1428" t="str">
            <v>728-2024</v>
          </cell>
          <cell r="D1428">
            <v>3000000</v>
          </cell>
          <cell r="E1428">
            <v>1193385397</v>
          </cell>
          <cell r="F1428" t="str">
            <v>KAROL ESTEFANY MIRANDA TOBAR</v>
          </cell>
        </row>
        <row r="1429">
          <cell r="A1429">
            <v>45649</v>
          </cell>
          <cell r="B1429">
            <v>2024003542</v>
          </cell>
          <cell r="C1429" t="str">
            <v>748-2024</v>
          </cell>
          <cell r="D1429">
            <v>3000000</v>
          </cell>
          <cell r="E1429">
            <v>37084285</v>
          </cell>
          <cell r="F1429" t="str">
            <v>JULIE ANDREA FREIRE MIER</v>
          </cell>
        </row>
        <row r="1430">
          <cell r="A1430">
            <v>45649</v>
          </cell>
          <cell r="B1430">
            <v>2024003543</v>
          </cell>
          <cell r="C1430" t="str">
            <v>1001-2024</v>
          </cell>
          <cell r="D1430">
            <v>2500000</v>
          </cell>
          <cell r="E1430">
            <v>36950441</v>
          </cell>
          <cell r="F1430" t="str">
            <v>MARIA CLAUDIA ZAMBRANO BOLAÑOS</v>
          </cell>
        </row>
        <row r="1431">
          <cell r="A1431">
            <v>45649</v>
          </cell>
          <cell r="B1431">
            <v>2024003544</v>
          </cell>
          <cell r="C1431" t="str">
            <v>1084-2024</v>
          </cell>
          <cell r="D1431">
            <v>6000000</v>
          </cell>
          <cell r="E1431">
            <v>27321605</v>
          </cell>
          <cell r="F1431" t="str">
            <v>MONICA PAOLA CHAMORRO CAICEDO</v>
          </cell>
        </row>
        <row r="1432">
          <cell r="A1432">
            <v>45649</v>
          </cell>
          <cell r="B1432">
            <v>2024003545</v>
          </cell>
          <cell r="C1432" t="str">
            <v>674-2024</v>
          </cell>
          <cell r="D1432">
            <v>7540000</v>
          </cell>
          <cell r="E1432">
            <v>7603662</v>
          </cell>
          <cell r="F1432" t="str">
            <v>FERNANDO ALBERTO ROMERO SOLANO</v>
          </cell>
        </row>
        <row r="1433">
          <cell r="A1433">
            <v>45649</v>
          </cell>
          <cell r="B1433">
            <v>2024003546</v>
          </cell>
          <cell r="C1433" t="str">
            <v>1049-2024</v>
          </cell>
          <cell r="D1433">
            <v>499800</v>
          </cell>
          <cell r="E1433">
            <v>1085321176</v>
          </cell>
          <cell r="F1433" t="str">
            <v>NICOLE ALEXANDRA CHACON GUERRERO</v>
          </cell>
        </row>
        <row r="1434">
          <cell r="A1434">
            <v>45649</v>
          </cell>
          <cell r="B1434">
            <v>2024003547</v>
          </cell>
          <cell r="C1434" t="str">
            <v>1049-2024</v>
          </cell>
          <cell r="D1434">
            <v>2500000</v>
          </cell>
          <cell r="E1434">
            <v>1085321176</v>
          </cell>
          <cell r="F1434" t="str">
            <v>NICOLE ALEXANDRA CHACON GUERRERO</v>
          </cell>
        </row>
        <row r="1435">
          <cell r="A1435">
            <v>45649</v>
          </cell>
          <cell r="B1435">
            <v>2024003548</v>
          </cell>
          <cell r="C1435" t="str">
            <v>921-2024</v>
          </cell>
          <cell r="D1435">
            <v>3000000</v>
          </cell>
          <cell r="E1435">
            <v>1004232315</v>
          </cell>
          <cell r="F1435" t="str">
            <v>ANGIE MARCELA PRECIADO QUIÑONES</v>
          </cell>
        </row>
        <row r="1436">
          <cell r="A1436">
            <v>45649</v>
          </cell>
          <cell r="B1436">
            <v>2024003549</v>
          </cell>
          <cell r="C1436" t="str">
            <v>713-2024</v>
          </cell>
          <cell r="D1436">
            <v>6000000</v>
          </cell>
          <cell r="E1436">
            <v>1004213964</v>
          </cell>
          <cell r="F1436" t="str">
            <v>JENIFFER  ARCOS GIL</v>
          </cell>
        </row>
        <row r="1437">
          <cell r="A1437">
            <v>45649</v>
          </cell>
          <cell r="B1437">
            <v>2024003550</v>
          </cell>
          <cell r="C1437" t="str">
            <v>840-2024</v>
          </cell>
          <cell r="D1437">
            <v>3000000</v>
          </cell>
          <cell r="E1437">
            <v>1137624011</v>
          </cell>
          <cell r="F1437" t="str">
            <v>KAROL DAYANA TONGUINO TORO</v>
          </cell>
        </row>
        <row r="1438">
          <cell r="A1438">
            <v>45649</v>
          </cell>
          <cell r="B1438">
            <v>2024003551</v>
          </cell>
          <cell r="C1438" t="str">
            <v>818-2024</v>
          </cell>
          <cell r="D1438">
            <v>4825000</v>
          </cell>
          <cell r="E1438">
            <v>1085337969</v>
          </cell>
          <cell r="F1438" t="str">
            <v>SANTIAGO NICOLAS TULCAN REGALADO</v>
          </cell>
        </row>
        <row r="1439">
          <cell r="A1439">
            <v>45649</v>
          </cell>
          <cell r="B1439">
            <v>2024003552</v>
          </cell>
          <cell r="C1439" t="str">
            <v>725-2024</v>
          </cell>
          <cell r="D1439">
            <v>3000000</v>
          </cell>
          <cell r="E1439">
            <v>1081592303</v>
          </cell>
          <cell r="F1439" t="str">
            <v>MARILIN  ZAMBRANO OBANDO</v>
          </cell>
        </row>
        <row r="1440">
          <cell r="A1440">
            <v>45649</v>
          </cell>
          <cell r="B1440">
            <v>2024003553</v>
          </cell>
          <cell r="C1440" t="str">
            <v>993-2024</v>
          </cell>
          <cell r="D1440">
            <v>7540000</v>
          </cell>
          <cell r="E1440">
            <v>1085262570</v>
          </cell>
          <cell r="F1440" t="str">
            <v>PAOLA XIMENA ERIRA TORRES</v>
          </cell>
        </row>
        <row r="1441">
          <cell r="A1441">
            <v>45649</v>
          </cell>
          <cell r="B1441">
            <v>2024003554</v>
          </cell>
          <cell r="C1441" t="str">
            <v>1034-2024</v>
          </cell>
          <cell r="D1441">
            <v>4825000</v>
          </cell>
          <cell r="E1441">
            <v>1085322873</v>
          </cell>
          <cell r="F1441" t="str">
            <v>TANIA ALEJANDRA BENAVIDES MARTINEZ</v>
          </cell>
        </row>
        <row r="1442">
          <cell r="A1442">
            <v>45649</v>
          </cell>
          <cell r="B1442">
            <v>2024003555</v>
          </cell>
          <cell r="C1442" t="str">
            <v>1008-2024</v>
          </cell>
          <cell r="D1442">
            <v>7540000</v>
          </cell>
          <cell r="E1442">
            <v>10859376713</v>
          </cell>
          <cell r="F1442" t="str">
            <v>DIANA CAROLINA CORAL LOPEZ</v>
          </cell>
        </row>
        <row r="1443">
          <cell r="A1443">
            <v>45649</v>
          </cell>
          <cell r="B1443">
            <v>2024003556</v>
          </cell>
          <cell r="C1443" t="str">
            <v>641-2024</v>
          </cell>
          <cell r="D1443">
            <v>7500000</v>
          </cell>
          <cell r="E1443">
            <v>1088599676</v>
          </cell>
          <cell r="F1443" t="str">
            <v>DANIEL GERARDO ERAZO OVIEDO</v>
          </cell>
        </row>
        <row r="1444">
          <cell r="A1444">
            <v>45649</v>
          </cell>
          <cell r="B1444">
            <v>2024003557</v>
          </cell>
          <cell r="C1444" t="str">
            <v>702-2024</v>
          </cell>
          <cell r="D1444">
            <v>7540000</v>
          </cell>
          <cell r="E1444">
            <v>80765093</v>
          </cell>
          <cell r="F1444" t="str">
            <v>FRANCISCO  RAFAEL ORTÍZ BENÌTEZ</v>
          </cell>
        </row>
        <row r="1445">
          <cell r="A1445">
            <v>45649</v>
          </cell>
          <cell r="B1445">
            <v>2024003558</v>
          </cell>
          <cell r="C1445" t="str">
            <v>1029-2024</v>
          </cell>
          <cell r="D1445">
            <v>2500000</v>
          </cell>
          <cell r="E1445">
            <v>36754171</v>
          </cell>
          <cell r="F1445" t="str">
            <v>SONIA PATRICIA ERAZO RIVERA</v>
          </cell>
        </row>
        <row r="1446">
          <cell r="A1446">
            <v>45649</v>
          </cell>
          <cell r="B1446">
            <v>2024003559</v>
          </cell>
          <cell r="C1446" t="str">
            <v>792-2024</v>
          </cell>
          <cell r="D1446">
            <v>3000000</v>
          </cell>
          <cell r="E1446">
            <v>1081052746</v>
          </cell>
          <cell r="F1446" t="str">
            <v>JULIETH CAROLINA DIAZ FIGUEROA</v>
          </cell>
        </row>
        <row r="1447">
          <cell r="A1447">
            <v>45649</v>
          </cell>
          <cell r="B1447">
            <v>2024003560</v>
          </cell>
          <cell r="C1447" t="str">
            <v>679-2024</v>
          </cell>
          <cell r="D1447">
            <v>6000000</v>
          </cell>
          <cell r="E1447">
            <v>36954410</v>
          </cell>
          <cell r="F1447" t="str">
            <v>KARINA MARIBEL LUNA LOPEZ</v>
          </cell>
        </row>
        <row r="1448">
          <cell r="A1448">
            <v>45649</v>
          </cell>
          <cell r="B1448">
            <v>2024003561</v>
          </cell>
          <cell r="C1448" t="str">
            <v>866-2024</v>
          </cell>
          <cell r="D1448">
            <v>3000000</v>
          </cell>
          <cell r="E1448">
            <v>1084224968</v>
          </cell>
          <cell r="F1448" t="str">
            <v>VIVIAN ROXANA JURADO BANDA</v>
          </cell>
        </row>
        <row r="1449">
          <cell r="A1449">
            <v>45649</v>
          </cell>
          <cell r="B1449">
            <v>2024003562</v>
          </cell>
          <cell r="C1449" t="str">
            <v>845-2024</v>
          </cell>
          <cell r="D1449">
            <v>6000000</v>
          </cell>
          <cell r="E1449">
            <v>1087420025</v>
          </cell>
          <cell r="F1449" t="str">
            <v>ELIANA YORLENY BENAVIDES GUERRERO</v>
          </cell>
        </row>
        <row r="1450">
          <cell r="A1450">
            <v>45649</v>
          </cell>
          <cell r="B1450">
            <v>2024003563</v>
          </cell>
          <cell r="C1450" t="str">
            <v>951-2024</v>
          </cell>
          <cell r="D1450">
            <v>2500000</v>
          </cell>
          <cell r="E1450">
            <v>1131085946</v>
          </cell>
          <cell r="F1450" t="str">
            <v>JESSICA CAROLINA BENAVIDES GENOY</v>
          </cell>
        </row>
        <row r="1451">
          <cell r="A1451">
            <v>45649</v>
          </cell>
          <cell r="B1451">
            <v>2024003564</v>
          </cell>
          <cell r="C1451" t="str">
            <v>720-2024</v>
          </cell>
          <cell r="D1451">
            <v>4750000</v>
          </cell>
          <cell r="E1451">
            <v>1085345772</v>
          </cell>
          <cell r="F1451" t="str">
            <v>MARIA ISABEL ALVAREZ CAICEDO</v>
          </cell>
        </row>
        <row r="1452">
          <cell r="A1452">
            <v>45649</v>
          </cell>
          <cell r="B1452">
            <v>2024003565</v>
          </cell>
          <cell r="C1452" t="str">
            <v>708-2024</v>
          </cell>
          <cell r="D1452">
            <v>3000000</v>
          </cell>
          <cell r="E1452">
            <v>1004709928</v>
          </cell>
          <cell r="F1452" t="str">
            <v>DEISY ANDREA MARTÍNEZ NARVAEZ</v>
          </cell>
        </row>
        <row r="1453">
          <cell r="A1453">
            <v>45649</v>
          </cell>
          <cell r="B1453">
            <v>2024003566</v>
          </cell>
          <cell r="C1453" t="str">
            <v>981-2024</v>
          </cell>
          <cell r="D1453">
            <v>2500000</v>
          </cell>
          <cell r="E1453">
            <v>1085314334</v>
          </cell>
          <cell r="F1453" t="str">
            <v>NELSY MARITZA JOJOA JOJOA</v>
          </cell>
        </row>
        <row r="1454">
          <cell r="A1454">
            <v>45649</v>
          </cell>
          <cell r="B1454">
            <v>2024003567</v>
          </cell>
          <cell r="C1454" t="str">
            <v>949-2024</v>
          </cell>
          <cell r="D1454">
            <v>2500000</v>
          </cell>
          <cell r="E1454">
            <v>1085335069</v>
          </cell>
          <cell r="F1454" t="str">
            <v>CARINA DEL CARMEN PASICHANA YAQUENO</v>
          </cell>
        </row>
        <row r="1455">
          <cell r="A1455">
            <v>45649</v>
          </cell>
          <cell r="B1455">
            <v>2024003568</v>
          </cell>
          <cell r="C1455" t="str">
            <v>789-2024</v>
          </cell>
          <cell r="D1455">
            <v>7540000</v>
          </cell>
          <cell r="E1455">
            <v>36950112</v>
          </cell>
          <cell r="F1455" t="str">
            <v>MUÑOZ CORDOBA PATRICIA</v>
          </cell>
        </row>
        <row r="1456">
          <cell r="A1456">
            <v>45649</v>
          </cell>
          <cell r="B1456">
            <v>2024003569</v>
          </cell>
          <cell r="C1456" t="str">
            <v>764-2024</v>
          </cell>
          <cell r="D1456">
            <v>3000000</v>
          </cell>
          <cell r="E1456">
            <v>1004234290</v>
          </cell>
          <cell r="F1456" t="str">
            <v>LAURA  SOFIA ROSERO DAVID</v>
          </cell>
        </row>
        <row r="1457">
          <cell r="A1457">
            <v>45649</v>
          </cell>
          <cell r="B1457">
            <v>2024003570</v>
          </cell>
          <cell r="C1457" t="str">
            <v>1080-2024</v>
          </cell>
          <cell r="D1457">
            <v>6000000</v>
          </cell>
          <cell r="E1457">
            <v>1007254154</v>
          </cell>
          <cell r="F1457" t="str">
            <v>ANGIE MARISOL ESPAÑA BURGOS</v>
          </cell>
        </row>
        <row r="1458">
          <cell r="A1458">
            <v>45649</v>
          </cell>
          <cell r="B1458">
            <v>2024003571</v>
          </cell>
          <cell r="C1458" t="str">
            <v>697-2024</v>
          </cell>
          <cell r="D1458">
            <v>3000000</v>
          </cell>
          <cell r="E1458">
            <v>36954407</v>
          </cell>
          <cell r="F1458" t="str">
            <v>PAOLA VIVIANA HIDALGO MARCILLO</v>
          </cell>
        </row>
        <row r="1459">
          <cell r="A1459">
            <v>45649</v>
          </cell>
          <cell r="B1459">
            <v>2024003572</v>
          </cell>
          <cell r="C1459" t="str">
            <v>963-2024</v>
          </cell>
          <cell r="D1459">
            <v>3000000</v>
          </cell>
          <cell r="E1459">
            <v>1085315209</v>
          </cell>
          <cell r="F1459" t="str">
            <v>ANGIE ALEXANDRA MORILLO PANTOJA</v>
          </cell>
        </row>
        <row r="1460">
          <cell r="A1460">
            <v>45649</v>
          </cell>
          <cell r="B1460">
            <v>2024003573</v>
          </cell>
          <cell r="C1460" t="str">
            <v>724-2024</v>
          </cell>
          <cell r="D1460">
            <v>3000000</v>
          </cell>
          <cell r="E1460">
            <v>1014857280</v>
          </cell>
          <cell r="F1460" t="str">
            <v>LAURA VALENTINA PASCUAZA YUCUMA</v>
          </cell>
        </row>
        <row r="1461">
          <cell r="A1461">
            <v>45649</v>
          </cell>
          <cell r="B1461">
            <v>2024003574</v>
          </cell>
          <cell r="C1461" t="str">
            <v>745-2024</v>
          </cell>
          <cell r="D1461">
            <v>3000000</v>
          </cell>
          <cell r="E1461">
            <v>1085296353</v>
          </cell>
          <cell r="F1461" t="str">
            <v>VERONICA ROXANA MORAN VILLOTA</v>
          </cell>
        </row>
        <row r="1462">
          <cell r="A1462">
            <v>45649</v>
          </cell>
          <cell r="B1462">
            <v>2024003575</v>
          </cell>
          <cell r="C1462" t="str">
            <v>656-2024</v>
          </cell>
          <cell r="D1462">
            <v>7540000</v>
          </cell>
          <cell r="E1462">
            <v>1085335767</v>
          </cell>
          <cell r="F1462" t="str">
            <v>LEIDY CRISTINA RODRÌGUEZ LÓPEZ</v>
          </cell>
        </row>
        <row r="1463">
          <cell r="A1463">
            <v>45649</v>
          </cell>
          <cell r="B1463">
            <v>2024003576</v>
          </cell>
          <cell r="C1463" t="str">
            <v>823-2024</v>
          </cell>
          <cell r="D1463">
            <v>2500000</v>
          </cell>
          <cell r="E1463">
            <v>1086016308</v>
          </cell>
          <cell r="F1463" t="str">
            <v>AYDE JACKELINE CABRERA CRIOLLO</v>
          </cell>
        </row>
        <row r="1464">
          <cell r="A1464">
            <v>45649</v>
          </cell>
          <cell r="B1464">
            <v>2024003577</v>
          </cell>
          <cell r="C1464" t="str">
            <v>1050-2024</v>
          </cell>
          <cell r="D1464">
            <v>2500000</v>
          </cell>
          <cell r="E1464">
            <v>30709681</v>
          </cell>
          <cell r="F1464" t="str">
            <v>BERTA ALICIA RUIZ</v>
          </cell>
        </row>
        <row r="1465">
          <cell r="A1465">
            <v>45649</v>
          </cell>
          <cell r="B1465">
            <v>2024003578</v>
          </cell>
          <cell r="C1465" t="str">
            <v>758-2024</v>
          </cell>
          <cell r="D1465">
            <v>6000000</v>
          </cell>
          <cell r="E1465">
            <v>79724257</v>
          </cell>
          <cell r="F1465" t="str">
            <v>LEONEL FERNANDO JOJOA JOJOA</v>
          </cell>
        </row>
        <row r="1466">
          <cell r="A1466">
            <v>45649</v>
          </cell>
          <cell r="B1466">
            <v>2024003579</v>
          </cell>
          <cell r="C1466" t="str">
            <v>857-2024</v>
          </cell>
          <cell r="D1466">
            <v>4825000</v>
          </cell>
          <cell r="E1466">
            <v>1085289739</v>
          </cell>
          <cell r="F1466" t="str">
            <v>YULY LORENA CABRERA DELGADO</v>
          </cell>
        </row>
        <row r="1467">
          <cell r="A1467">
            <v>45649</v>
          </cell>
          <cell r="B1467">
            <v>2024003580</v>
          </cell>
          <cell r="C1467" t="str">
            <v>957-2024</v>
          </cell>
          <cell r="D1467">
            <v>3000000</v>
          </cell>
          <cell r="E1467">
            <v>1085317833</v>
          </cell>
          <cell r="F1467" t="str">
            <v>ANGIE VIVIANA SACANAMBUY PAZ</v>
          </cell>
        </row>
        <row r="1468">
          <cell r="A1468">
            <v>45649</v>
          </cell>
          <cell r="B1468">
            <v>2024003581</v>
          </cell>
          <cell r="C1468" t="str">
            <v>666-2024</v>
          </cell>
          <cell r="D1468">
            <v>4825000</v>
          </cell>
          <cell r="E1468">
            <v>1087643211</v>
          </cell>
          <cell r="F1468" t="str">
            <v>NIEVES FERNANDA AZZA ORDOÑEZ</v>
          </cell>
        </row>
        <row r="1469">
          <cell r="A1469">
            <v>45649</v>
          </cell>
          <cell r="B1469">
            <v>2024003582</v>
          </cell>
          <cell r="C1469" t="str">
            <v>914-2024</v>
          </cell>
          <cell r="D1469">
            <v>2500000</v>
          </cell>
          <cell r="E1469">
            <v>1085310465</v>
          </cell>
          <cell r="F1469" t="str">
            <v>YAMILE ALEJANDRA BOTINA RODRIGUEZ</v>
          </cell>
        </row>
        <row r="1470">
          <cell r="A1470">
            <v>45649</v>
          </cell>
          <cell r="B1470">
            <v>2024003583</v>
          </cell>
          <cell r="C1470" t="str">
            <v>634-2024</v>
          </cell>
          <cell r="D1470">
            <v>7540000</v>
          </cell>
          <cell r="E1470">
            <v>87065647</v>
          </cell>
          <cell r="F1470" t="str">
            <v>JHON JAIME LOPEZ GUERRERO</v>
          </cell>
        </row>
        <row r="1471">
          <cell r="A1471">
            <v>45649</v>
          </cell>
          <cell r="B1471">
            <v>2024003584</v>
          </cell>
          <cell r="C1471" t="str">
            <v>726-2024</v>
          </cell>
          <cell r="D1471">
            <v>3000000</v>
          </cell>
          <cell r="E1471">
            <v>1030606749</v>
          </cell>
          <cell r="F1471" t="str">
            <v>ANGELA EDITH GONZALEZ PIANDA</v>
          </cell>
        </row>
        <row r="1472">
          <cell r="A1472">
            <v>45649</v>
          </cell>
          <cell r="B1472">
            <v>2024003585</v>
          </cell>
          <cell r="C1472" t="str">
            <v>786-2024</v>
          </cell>
          <cell r="D1472">
            <v>2500000</v>
          </cell>
          <cell r="E1472">
            <v>59830219</v>
          </cell>
          <cell r="F1472" t="str">
            <v>ADRIANA GABRIELA DIAZ MONTENEGRO</v>
          </cell>
        </row>
        <row r="1473">
          <cell r="A1473">
            <v>45649</v>
          </cell>
          <cell r="B1473">
            <v>2024003586</v>
          </cell>
          <cell r="C1473" t="str">
            <v>654-2024</v>
          </cell>
          <cell r="D1473">
            <v>4825000</v>
          </cell>
          <cell r="E1473">
            <v>87062845</v>
          </cell>
          <cell r="F1473" t="str">
            <v>EDMER LEONARDO RUALES AYALA</v>
          </cell>
        </row>
        <row r="1474">
          <cell r="A1474">
            <v>45649</v>
          </cell>
          <cell r="B1474">
            <v>2024003587</v>
          </cell>
          <cell r="C1474" t="str">
            <v>988-2024</v>
          </cell>
          <cell r="D1474">
            <v>4825000</v>
          </cell>
          <cell r="E1474">
            <v>1085306723</v>
          </cell>
          <cell r="F1474" t="str">
            <v>DIANA LIZETH RAMOS  MENESES</v>
          </cell>
        </row>
        <row r="1475">
          <cell r="A1475">
            <v>45649</v>
          </cell>
          <cell r="B1475">
            <v>2024003588</v>
          </cell>
          <cell r="C1475" t="str">
            <v>992-2024</v>
          </cell>
          <cell r="D1475">
            <v>7540000</v>
          </cell>
          <cell r="E1475">
            <v>1085315800</v>
          </cell>
          <cell r="F1475" t="str">
            <v>DIANA CAROLINA ESCOBAR ANDRADE</v>
          </cell>
        </row>
        <row r="1476">
          <cell r="A1476">
            <v>45649</v>
          </cell>
          <cell r="B1476">
            <v>2024003589</v>
          </cell>
          <cell r="C1476" t="str">
            <v>657-2024</v>
          </cell>
          <cell r="D1476">
            <v>7540000</v>
          </cell>
          <cell r="E1476">
            <v>1085304670</v>
          </cell>
          <cell r="F1476" t="str">
            <v>PAOLA ANDREA VELEZ BOLAÑOS</v>
          </cell>
        </row>
        <row r="1477">
          <cell r="A1477">
            <v>45649</v>
          </cell>
          <cell r="B1477">
            <v>2024003590</v>
          </cell>
          <cell r="C1477" t="str">
            <v>869-2024</v>
          </cell>
          <cell r="D1477">
            <v>3000000</v>
          </cell>
          <cell r="E1477">
            <v>1085324685</v>
          </cell>
          <cell r="F1477" t="str">
            <v>LINA MARIA PIZANO PEREZ</v>
          </cell>
        </row>
        <row r="1478">
          <cell r="A1478">
            <v>45649</v>
          </cell>
          <cell r="B1478">
            <v>2024003591</v>
          </cell>
          <cell r="C1478" t="str">
            <v>901-2024</v>
          </cell>
          <cell r="D1478">
            <v>3000000</v>
          </cell>
          <cell r="E1478">
            <v>1085275473</v>
          </cell>
          <cell r="F1478" t="str">
            <v>LADY VIVIANA CASTRO GUAUÑA</v>
          </cell>
        </row>
        <row r="1479">
          <cell r="A1479">
            <v>45649</v>
          </cell>
          <cell r="B1479">
            <v>2024003592</v>
          </cell>
          <cell r="C1479" t="str">
            <v>849-2024</v>
          </cell>
          <cell r="D1479">
            <v>3000000</v>
          </cell>
          <cell r="E1479">
            <v>1085277516</v>
          </cell>
          <cell r="F1479" t="str">
            <v>ANA MARCELA LOPEZ RUALES</v>
          </cell>
        </row>
        <row r="1480">
          <cell r="A1480">
            <v>45649</v>
          </cell>
          <cell r="B1480">
            <v>2024003593</v>
          </cell>
          <cell r="C1480" t="str">
            <v>801-2024</v>
          </cell>
          <cell r="D1480">
            <v>2500000</v>
          </cell>
          <cell r="E1480">
            <v>1085330079</v>
          </cell>
          <cell r="F1480" t="str">
            <v>ANGIE GIONELLA HERNANDEZ VILLOTA</v>
          </cell>
        </row>
        <row r="1481">
          <cell r="A1481">
            <v>45649</v>
          </cell>
          <cell r="B1481">
            <v>2024003594</v>
          </cell>
          <cell r="C1481" t="str">
            <v>790-2024</v>
          </cell>
          <cell r="D1481">
            <v>2500000</v>
          </cell>
          <cell r="E1481">
            <v>36759281</v>
          </cell>
          <cell r="F1481" t="str">
            <v>VERONICA  HURTADO PASCUAZA</v>
          </cell>
        </row>
        <row r="1482">
          <cell r="A1482">
            <v>45649</v>
          </cell>
          <cell r="B1482">
            <v>2024003595</v>
          </cell>
          <cell r="C1482" t="str">
            <v>635-2024</v>
          </cell>
          <cell r="D1482">
            <v>4825000</v>
          </cell>
          <cell r="E1482">
            <v>59314451</v>
          </cell>
          <cell r="F1482" t="str">
            <v>ERIKA JOHANNA OBANDO SANTACRUZ</v>
          </cell>
        </row>
        <row r="1483">
          <cell r="A1483">
            <v>45649</v>
          </cell>
          <cell r="B1483">
            <v>2024003596</v>
          </cell>
          <cell r="C1483" t="str">
            <v>743-2024</v>
          </cell>
          <cell r="D1483">
            <v>3000000</v>
          </cell>
          <cell r="E1483">
            <v>98382500</v>
          </cell>
          <cell r="F1483" t="str">
            <v>JOSE JAVIER PINTA YAQUENO</v>
          </cell>
        </row>
        <row r="1484">
          <cell r="A1484">
            <v>45649</v>
          </cell>
          <cell r="B1484">
            <v>2024003597</v>
          </cell>
          <cell r="C1484" t="str">
            <v>682-2024</v>
          </cell>
          <cell r="D1484">
            <v>4750000</v>
          </cell>
          <cell r="E1484">
            <v>87060703</v>
          </cell>
          <cell r="F1484" t="str">
            <v>JESUS ARMANDO MARTÍNEZ GÓMEZ</v>
          </cell>
        </row>
        <row r="1485">
          <cell r="A1485">
            <v>45649</v>
          </cell>
          <cell r="B1485">
            <v>2024003599</v>
          </cell>
          <cell r="C1485" t="str">
            <v>1031-2024</v>
          </cell>
          <cell r="D1485">
            <v>2500000</v>
          </cell>
          <cell r="E1485">
            <v>1085312811</v>
          </cell>
          <cell r="F1485" t="str">
            <v>NELCY VICTORIA GUSTIN FAJARDO</v>
          </cell>
        </row>
        <row r="1486">
          <cell r="A1486">
            <v>45649</v>
          </cell>
          <cell r="B1486">
            <v>2024003600</v>
          </cell>
          <cell r="C1486" t="str">
            <v>653-2024</v>
          </cell>
          <cell r="D1486">
            <v>7540000</v>
          </cell>
          <cell r="E1486">
            <v>1085321192</v>
          </cell>
          <cell r="F1486" t="str">
            <v>BRAYAN ANTONIO MADROÑERO QUINTERO</v>
          </cell>
        </row>
        <row r="1487">
          <cell r="A1487">
            <v>45649</v>
          </cell>
          <cell r="B1487">
            <v>2024003601</v>
          </cell>
          <cell r="C1487" t="str">
            <v>1025-2024</v>
          </cell>
          <cell r="D1487">
            <v>3000000</v>
          </cell>
          <cell r="E1487">
            <v>1085297914</v>
          </cell>
          <cell r="F1487" t="str">
            <v>YURI LORENA MUÑOZ CANCIMANZE</v>
          </cell>
        </row>
        <row r="1488">
          <cell r="A1488">
            <v>45649</v>
          </cell>
          <cell r="B1488">
            <v>2024003602</v>
          </cell>
          <cell r="C1488" t="str">
            <v>873-2024</v>
          </cell>
          <cell r="D1488">
            <v>3000000</v>
          </cell>
          <cell r="E1488">
            <v>1193265360</v>
          </cell>
          <cell r="F1488" t="str">
            <v>ADRIANA SOFIA ISANDARA NUPAN</v>
          </cell>
        </row>
        <row r="1489">
          <cell r="A1489">
            <v>45649</v>
          </cell>
          <cell r="B1489">
            <v>2024003603</v>
          </cell>
          <cell r="C1489" t="str">
            <v>969-2024</v>
          </cell>
          <cell r="D1489">
            <v>6000000</v>
          </cell>
          <cell r="E1489">
            <v>59825948</v>
          </cell>
          <cell r="F1489" t="str">
            <v xml:space="preserve">CALVACHE MARTINEZ CLAUDIA LUCY   </v>
          </cell>
        </row>
        <row r="1490">
          <cell r="A1490">
            <v>45649</v>
          </cell>
          <cell r="B1490">
            <v>2024003604</v>
          </cell>
          <cell r="C1490" t="str">
            <v>981-2024</v>
          </cell>
          <cell r="D1490">
            <v>2500000</v>
          </cell>
          <cell r="E1490">
            <v>1085314334</v>
          </cell>
          <cell r="F1490" t="str">
            <v>NELSY MARITZA JOJOA JOJOA</v>
          </cell>
        </row>
        <row r="1491">
          <cell r="A1491">
            <v>45649</v>
          </cell>
          <cell r="B1491">
            <v>2024003605</v>
          </cell>
          <cell r="C1491" t="str">
            <v>902-2024</v>
          </cell>
          <cell r="D1491">
            <v>4750000</v>
          </cell>
          <cell r="E1491">
            <v>1086332188</v>
          </cell>
          <cell r="F1491" t="str">
            <v>CARLOS  ALBERTO ZAMBRANO VARGAS</v>
          </cell>
        </row>
        <row r="1492">
          <cell r="A1492">
            <v>45649</v>
          </cell>
          <cell r="B1492">
            <v>2024003606</v>
          </cell>
          <cell r="C1492" t="str">
            <v>1043-2024</v>
          </cell>
          <cell r="D1492">
            <v>2500000</v>
          </cell>
          <cell r="E1492">
            <v>36951530</v>
          </cell>
          <cell r="F1492" t="str">
            <v>JIMENEZ CRIOLLO BICKE MARIBEL</v>
          </cell>
        </row>
        <row r="1493">
          <cell r="A1493">
            <v>45649</v>
          </cell>
          <cell r="B1493">
            <v>2024003607</v>
          </cell>
          <cell r="C1493" t="str">
            <v>1033-2024</v>
          </cell>
          <cell r="D1493">
            <v>2499100</v>
          </cell>
          <cell r="E1493">
            <v>30722194</v>
          </cell>
          <cell r="F1493" t="str">
            <v>OSORIO GUERRERO ORFELINA DEL CARMEN</v>
          </cell>
        </row>
        <row r="1494">
          <cell r="A1494">
            <v>45649</v>
          </cell>
          <cell r="B1494">
            <v>2024003608</v>
          </cell>
          <cell r="C1494" t="str">
            <v>729-2024</v>
          </cell>
          <cell r="D1494">
            <v>7540000</v>
          </cell>
          <cell r="E1494">
            <v>1085329230</v>
          </cell>
          <cell r="F1494" t="str">
            <v>MEHILIN TATIANA QUIMBIAMBA ORTÌZ</v>
          </cell>
        </row>
        <row r="1495">
          <cell r="A1495">
            <v>45649</v>
          </cell>
          <cell r="B1495">
            <v>2024003609</v>
          </cell>
          <cell r="C1495" t="str">
            <v>633-2024</v>
          </cell>
          <cell r="D1495">
            <v>4750000</v>
          </cell>
          <cell r="E1495">
            <v>59821282</v>
          </cell>
          <cell r="F1495" t="str">
            <v>XIMENA DEL ROSARIO LOPEZ MAYA</v>
          </cell>
        </row>
        <row r="1496">
          <cell r="A1496">
            <v>45649</v>
          </cell>
          <cell r="B1496">
            <v>2024003610</v>
          </cell>
          <cell r="C1496" t="str">
            <v>970-2024</v>
          </cell>
          <cell r="D1496">
            <v>3000000</v>
          </cell>
          <cell r="E1496">
            <v>1081272656</v>
          </cell>
          <cell r="F1496" t="str">
            <v>ALISSON STEF ROSERO RODRIGUEZ</v>
          </cell>
        </row>
        <row r="1497">
          <cell r="A1497">
            <v>45649</v>
          </cell>
          <cell r="B1497">
            <v>2024003611</v>
          </cell>
          <cell r="C1497" t="str">
            <v>732-2024</v>
          </cell>
          <cell r="D1497">
            <v>3000000</v>
          </cell>
          <cell r="E1497">
            <v>1085344082</v>
          </cell>
          <cell r="F1497" t="str">
            <v>NATALIA LIZETH AGUIRRE SALAZAR</v>
          </cell>
        </row>
        <row r="1498">
          <cell r="A1498">
            <v>45649</v>
          </cell>
          <cell r="B1498">
            <v>2024003612</v>
          </cell>
          <cell r="C1498" t="str">
            <v>798-2024</v>
          </cell>
          <cell r="D1498">
            <v>3000000</v>
          </cell>
          <cell r="E1498">
            <v>1085325325</v>
          </cell>
          <cell r="F1498" t="str">
            <v>AYDA ISABEL MATABANCHOY BENAVIDES</v>
          </cell>
        </row>
        <row r="1499">
          <cell r="A1499">
            <v>45649</v>
          </cell>
          <cell r="B1499">
            <v>2024003613</v>
          </cell>
          <cell r="C1499" t="str">
            <v>960-2024</v>
          </cell>
          <cell r="D1499">
            <v>3000000</v>
          </cell>
          <cell r="E1499">
            <v>27088197</v>
          </cell>
          <cell r="F1499" t="str">
            <v xml:space="preserve">MANOSALVA UNIGARRO PAULA ANDREA   </v>
          </cell>
        </row>
        <row r="1500">
          <cell r="A1500">
            <v>45649</v>
          </cell>
          <cell r="B1500">
            <v>2024003614</v>
          </cell>
          <cell r="C1500" t="str">
            <v>699-2024</v>
          </cell>
          <cell r="D1500">
            <v>3000000</v>
          </cell>
          <cell r="E1500">
            <v>1081272025</v>
          </cell>
          <cell r="F1500" t="str">
            <v>ANGIE GABRIELA ENRIQUEZ TACAN</v>
          </cell>
        </row>
        <row r="1501">
          <cell r="A1501">
            <v>45649</v>
          </cell>
          <cell r="B1501">
            <v>2024003615</v>
          </cell>
          <cell r="C1501" t="str">
            <v>881-2024</v>
          </cell>
          <cell r="D1501">
            <v>6000000</v>
          </cell>
          <cell r="E1501">
            <v>1085254153</v>
          </cell>
          <cell r="F1501" t="str">
            <v>LISETH ELIANA BENAVIDES ARCOS</v>
          </cell>
        </row>
        <row r="1502">
          <cell r="A1502">
            <v>45649</v>
          </cell>
          <cell r="B1502">
            <v>2024003616</v>
          </cell>
          <cell r="C1502" t="str">
            <v>871-2024</v>
          </cell>
          <cell r="D1502">
            <v>3000000</v>
          </cell>
          <cell r="E1502">
            <v>37083086</v>
          </cell>
          <cell r="F1502" t="str">
            <v>KAROL IVONNE BURBANO ROSERO</v>
          </cell>
        </row>
        <row r="1503">
          <cell r="A1503">
            <v>45649</v>
          </cell>
          <cell r="B1503">
            <v>2024003617</v>
          </cell>
          <cell r="C1503" t="str">
            <v>1000-2024</v>
          </cell>
          <cell r="D1503">
            <v>3000000</v>
          </cell>
          <cell r="E1503">
            <v>1085265947</v>
          </cell>
          <cell r="F1503" t="str">
            <v>TIMANA MAIGUAL MARCELA JAZMIN</v>
          </cell>
        </row>
        <row r="1504">
          <cell r="A1504">
            <v>45649</v>
          </cell>
          <cell r="B1504">
            <v>2024003618</v>
          </cell>
          <cell r="C1504" t="str">
            <v>898-2024</v>
          </cell>
          <cell r="D1504">
            <v>4750000</v>
          </cell>
          <cell r="E1504">
            <v>27087475</v>
          </cell>
          <cell r="F1504" t="str">
            <v>JANETH EMILSE DIAZ  ARCINIEGAS</v>
          </cell>
        </row>
        <row r="1505">
          <cell r="A1505">
            <v>45649</v>
          </cell>
          <cell r="B1505">
            <v>2024003619</v>
          </cell>
          <cell r="C1505" t="str">
            <v>819-2024</v>
          </cell>
          <cell r="D1505">
            <v>6000000</v>
          </cell>
          <cell r="E1505">
            <v>1085320275</v>
          </cell>
          <cell r="F1505" t="str">
            <v>KAREN NATALIA ACOSTA MUÑOZ</v>
          </cell>
        </row>
        <row r="1506">
          <cell r="A1506">
            <v>45649</v>
          </cell>
          <cell r="B1506">
            <v>2024003620</v>
          </cell>
          <cell r="C1506" t="str">
            <v>800-2024</v>
          </cell>
          <cell r="D1506">
            <v>2500000</v>
          </cell>
          <cell r="E1506">
            <v>1233189896</v>
          </cell>
          <cell r="F1506" t="str">
            <v>NICOLAS EMILIO MENA  JOJOA</v>
          </cell>
        </row>
        <row r="1507">
          <cell r="A1507">
            <v>45649</v>
          </cell>
          <cell r="B1507">
            <v>2024003621</v>
          </cell>
          <cell r="C1507" t="str">
            <v>665-2024</v>
          </cell>
          <cell r="D1507">
            <v>4825000</v>
          </cell>
          <cell r="E1507">
            <v>1085267184</v>
          </cell>
          <cell r="F1507" t="str">
            <v>ANGELA PAOLA BOLAÐOS ARGOTI</v>
          </cell>
        </row>
        <row r="1508">
          <cell r="A1508">
            <v>45649</v>
          </cell>
          <cell r="B1508">
            <v>2024003622</v>
          </cell>
          <cell r="C1508" t="str">
            <v>687-2024</v>
          </cell>
          <cell r="D1508">
            <v>4750000</v>
          </cell>
          <cell r="E1508">
            <v>1085303067</v>
          </cell>
          <cell r="F1508" t="str">
            <v>CINDY ESTEFANIA GONZALES DEL CASTILLO</v>
          </cell>
        </row>
        <row r="1509">
          <cell r="A1509">
            <v>45649</v>
          </cell>
          <cell r="B1509">
            <v>2024003623</v>
          </cell>
          <cell r="C1509" t="str">
            <v>872-2024</v>
          </cell>
          <cell r="D1509">
            <v>7540000</v>
          </cell>
          <cell r="E1509">
            <v>1085344794</v>
          </cell>
          <cell r="F1509" t="str">
            <v>IVAN ALEXANDER BEJARANO RAMIREZ</v>
          </cell>
        </row>
        <row r="1510">
          <cell r="A1510">
            <v>45649</v>
          </cell>
          <cell r="B1510">
            <v>2024003624</v>
          </cell>
          <cell r="C1510" t="str">
            <v>731-2024</v>
          </cell>
          <cell r="D1510">
            <v>3000000</v>
          </cell>
          <cell r="E1510">
            <v>1085261053</v>
          </cell>
          <cell r="F1510" t="str">
            <v>ISABEL CRISTINA SANTACRUZ MUÑOZ</v>
          </cell>
        </row>
        <row r="1511">
          <cell r="A1511">
            <v>45649</v>
          </cell>
          <cell r="B1511">
            <v>2024003625</v>
          </cell>
          <cell r="C1511" t="str">
            <v>759-2024</v>
          </cell>
          <cell r="D1511">
            <v>3000000</v>
          </cell>
          <cell r="E1511">
            <v>36757522</v>
          </cell>
          <cell r="F1511" t="str">
            <v>VIKY PATRICIA ASCUNTAR CRIOLLO</v>
          </cell>
        </row>
        <row r="1512">
          <cell r="A1512">
            <v>45649</v>
          </cell>
          <cell r="B1512">
            <v>2024003626</v>
          </cell>
          <cell r="C1512" t="str">
            <v>935-2024</v>
          </cell>
          <cell r="D1512">
            <v>3000000</v>
          </cell>
          <cell r="E1512">
            <v>1085346528</v>
          </cell>
          <cell r="F1512" t="str">
            <v>JUDDY GABRIELA PIANDA PISCAL</v>
          </cell>
        </row>
        <row r="1513">
          <cell r="A1513">
            <v>45649</v>
          </cell>
          <cell r="B1513">
            <v>2024003627</v>
          </cell>
          <cell r="C1513" t="str">
            <v>662-2024</v>
          </cell>
          <cell r="D1513">
            <v>7540000</v>
          </cell>
          <cell r="E1513">
            <v>1193202097</v>
          </cell>
          <cell r="F1513" t="str">
            <v>VERONICA SOFIA HUERTAS ARCINIEGAS</v>
          </cell>
        </row>
        <row r="1514">
          <cell r="A1514">
            <v>45649</v>
          </cell>
          <cell r="B1514">
            <v>2024003628</v>
          </cell>
          <cell r="C1514" t="str">
            <v>675-2024</v>
          </cell>
          <cell r="D1514">
            <v>4750000</v>
          </cell>
          <cell r="E1514">
            <v>1085330309</v>
          </cell>
          <cell r="F1514" t="str">
            <v>LEYDI GISELLA BENAVIDES LÒPEZ</v>
          </cell>
        </row>
        <row r="1515">
          <cell r="A1515">
            <v>45649</v>
          </cell>
          <cell r="B1515">
            <v>2024003629</v>
          </cell>
          <cell r="C1515" t="str">
            <v>910-2024</v>
          </cell>
          <cell r="D1515">
            <v>2500000</v>
          </cell>
          <cell r="E1515">
            <v>1004535115</v>
          </cell>
          <cell r="F1515" t="str">
            <v>LISETH  MUÑOZ MARTINEZ</v>
          </cell>
        </row>
        <row r="1516">
          <cell r="A1516">
            <v>45649</v>
          </cell>
          <cell r="B1516">
            <v>2024003630</v>
          </cell>
          <cell r="C1516" t="str">
            <v>968-2024</v>
          </cell>
          <cell r="D1516">
            <v>2500000</v>
          </cell>
          <cell r="E1516">
            <v>59821968</v>
          </cell>
          <cell r="F1516" t="str">
            <v>MARIA  VICTORIA TABLA  MARTINEZ</v>
          </cell>
        </row>
        <row r="1517">
          <cell r="A1517">
            <v>45649</v>
          </cell>
          <cell r="B1517">
            <v>2024003631</v>
          </cell>
          <cell r="C1517" t="str">
            <v>638-2024</v>
          </cell>
          <cell r="D1517">
            <v>4825000</v>
          </cell>
          <cell r="E1517">
            <v>30732782</v>
          </cell>
          <cell r="F1517" t="str">
            <v>ANA  MILENA ROSERO SANTANDER</v>
          </cell>
        </row>
        <row r="1518">
          <cell r="A1518">
            <v>45649</v>
          </cell>
          <cell r="B1518">
            <v>2024003632</v>
          </cell>
          <cell r="C1518" t="str">
            <v>950-2024</v>
          </cell>
          <cell r="D1518">
            <v>2500000</v>
          </cell>
          <cell r="E1518">
            <v>37082480</v>
          </cell>
          <cell r="F1518" t="str">
            <v>ANDREA  LEONIZA IPIALES SOLARTE</v>
          </cell>
        </row>
        <row r="1519">
          <cell r="A1519">
            <v>45649</v>
          </cell>
          <cell r="B1519">
            <v>2024003633</v>
          </cell>
          <cell r="C1519" t="str">
            <v>834-2024</v>
          </cell>
          <cell r="D1519">
            <v>3000000</v>
          </cell>
          <cell r="E1519">
            <v>69028150</v>
          </cell>
          <cell r="F1519" t="str">
            <v>LYNN JANINA ORTIZ PAZ</v>
          </cell>
        </row>
        <row r="1520">
          <cell r="A1520">
            <v>45649</v>
          </cell>
          <cell r="B1520">
            <v>2024003634</v>
          </cell>
          <cell r="C1520" t="str">
            <v>783-2024</v>
          </cell>
          <cell r="D1520">
            <v>2500000</v>
          </cell>
          <cell r="E1520">
            <v>1085327836</v>
          </cell>
          <cell r="F1520" t="str">
            <v>ANGELA ESTEFANYA NASPIRAN  JOJOA</v>
          </cell>
        </row>
        <row r="1521">
          <cell r="A1521">
            <v>45649</v>
          </cell>
          <cell r="B1521">
            <v>2024003635</v>
          </cell>
          <cell r="C1521" t="str">
            <v>740-2024</v>
          </cell>
          <cell r="D1521">
            <v>3000000</v>
          </cell>
          <cell r="E1521">
            <v>36752202</v>
          </cell>
          <cell r="F1521" t="str">
            <v>PAULA ANDREA ROCHA DELGADO</v>
          </cell>
        </row>
        <row r="1522">
          <cell r="A1522">
            <v>45649</v>
          </cell>
          <cell r="B1522">
            <v>2024003636</v>
          </cell>
          <cell r="C1522" t="str">
            <v>746-2024</v>
          </cell>
          <cell r="D1522">
            <v>3000000</v>
          </cell>
          <cell r="E1522">
            <v>1085300095</v>
          </cell>
          <cell r="F1522" t="str">
            <v>AIDE CAROLINA RIASCOS ECHEVERRY</v>
          </cell>
        </row>
        <row r="1523">
          <cell r="A1523">
            <v>45649</v>
          </cell>
          <cell r="B1523">
            <v>2024003637</v>
          </cell>
          <cell r="C1523" t="str">
            <v>1021-2024</v>
          </cell>
          <cell r="D1523">
            <v>4825000</v>
          </cell>
          <cell r="E1523">
            <v>31324345</v>
          </cell>
          <cell r="F1523" t="str">
            <v>AURA CECILIA POSADA BARRIOS</v>
          </cell>
        </row>
        <row r="1524">
          <cell r="A1524">
            <v>45649</v>
          </cell>
          <cell r="B1524">
            <v>2024003638</v>
          </cell>
          <cell r="C1524" t="str">
            <v>695-2024</v>
          </cell>
          <cell r="D1524">
            <v>3000000</v>
          </cell>
          <cell r="E1524">
            <v>1085260568</v>
          </cell>
          <cell r="F1524" t="str">
            <v>SONIA PATRICIA ESPANA TAPIA</v>
          </cell>
        </row>
        <row r="1525">
          <cell r="A1525">
            <v>45649</v>
          </cell>
          <cell r="B1525">
            <v>2024003639</v>
          </cell>
          <cell r="C1525" t="str">
            <v>1053-2024</v>
          </cell>
          <cell r="D1525">
            <v>4825000</v>
          </cell>
          <cell r="E1525">
            <v>1080900817</v>
          </cell>
          <cell r="F1525" t="str">
            <v>CLARA INES APRAEZ GOMEZ</v>
          </cell>
        </row>
        <row r="1526">
          <cell r="A1526">
            <v>45650</v>
          </cell>
          <cell r="B1526">
            <v>2024003640</v>
          </cell>
          <cell r="C1526" t="str">
            <v>778-2024</v>
          </cell>
          <cell r="D1526">
            <v>4750000</v>
          </cell>
          <cell r="E1526">
            <v>36759759</v>
          </cell>
          <cell r="F1526" t="str">
            <v>LAUREN AZENITH CORAL SAMUDIO</v>
          </cell>
        </row>
        <row r="1527">
          <cell r="A1527">
            <v>45650</v>
          </cell>
          <cell r="B1527">
            <v>2024003641</v>
          </cell>
          <cell r="C1527" t="str">
            <v>862-2024</v>
          </cell>
          <cell r="D1527">
            <v>6000000</v>
          </cell>
          <cell r="E1527">
            <v>1085272491</v>
          </cell>
          <cell r="F1527" t="str">
            <v>JESSICA STEFANNY FRANCO ERASO</v>
          </cell>
        </row>
        <row r="1528">
          <cell r="A1528">
            <v>45650</v>
          </cell>
          <cell r="B1528">
            <v>2024003643</v>
          </cell>
          <cell r="C1528" t="str">
            <v>868-2024</v>
          </cell>
          <cell r="D1528">
            <v>6000000</v>
          </cell>
          <cell r="E1528">
            <v>36757221</v>
          </cell>
          <cell r="F1528" t="str">
            <v>FANNY MARIELA CORDOBA MORENO</v>
          </cell>
        </row>
        <row r="1529">
          <cell r="A1529">
            <v>45650</v>
          </cell>
          <cell r="B1529">
            <v>2024003645</v>
          </cell>
          <cell r="C1529" t="str">
            <v>923-2024</v>
          </cell>
          <cell r="D1529">
            <v>6000000</v>
          </cell>
          <cell r="E1529">
            <v>1085248939</v>
          </cell>
          <cell r="F1529" t="str">
            <v>CARMEN LILIANA ARMERO RUIZ</v>
          </cell>
        </row>
        <row r="1530">
          <cell r="A1530">
            <v>45650</v>
          </cell>
          <cell r="B1530">
            <v>2024003646</v>
          </cell>
          <cell r="C1530" t="str">
            <v>658-2024</v>
          </cell>
          <cell r="D1530">
            <v>4750000</v>
          </cell>
          <cell r="E1530">
            <v>1087414586</v>
          </cell>
          <cell r="F1530" t="str">
            <v>YULY MARCELA MORALES LOPEZ</v>
          </cell>
        </row>
        <row r="1531">
          <cell r="A1531">
            <v>45650</v>
          </cell>
          <cell r="B1531">
            <v>2024003647</v>
          </cell>
          <cell r="C1531" t="str">
            <v>753-2024</v>
          </cell>
          <cell r="D1531">
            <v>3000000</v>
          </cell>
          <cell r="E1531">
            <v>59310524</v>
          </cell>
          <cell r="F1531" t="str">
            <v>MARIBEL DEL CARMEN MAIGUAL MUÑOZ</v>
          </cell>
        </row>
        <row r="1532">
          <cell r="A1532">
            <v>45650</v>
          </cell>
          <cell r="B1532">
            <v>2024003648</v>
          </cell>
          <cell r="C1532" t="str">
            <v>646-2024</v>
          </cell>
          <cell r="D1532">
            <v>7540000</v>
          </cell>
          <cell r="E1532">
            <v>1085332934</v>
          </cell>
          <cell r="F1532" t="str">
            <v>NELLY VANESSA ORDOÑEZ BASTIDAS</v>
          </cell>
        </row>
        <row r="1533">
          <cell r="A1533">
            <v>45650</v>
          </cell>
          <cell r="B1533">
            <v>2024003649</v>
          </cell>
          <cell r="C1533" t="str">
            <v>647-2024</v>
          </cell>
          <cell r="D1533">
            <v>7540000</v>
          </cell>
          <cell r="E1533">
            <v>1085320661</v>
          </cell>
          <cell r="F1533" t="str">
            <v>JHEIBER BRANLLERT DULCE MUÑOZ</v>
          </cell>
        </row>
        <row r="1534">
          <cell r="A1534">
            <v>45650</v>
          </cell>
          <cell r="B1534">
            <v>2024003650</v>
          </cell>
          <cell r="C1534" t="str">
            <v>1015-2024</v>
          </cell>
          <cell r="D1534">
            <v>3000000</v>
          </cell>
          <cell r="E1534">
            <v>1085255829</v>
          </cell>
          <cell r="F1534" t="str">
            <v xml:space="preserve">JOHANA KATERINE GONZALEZ </v>
          </cell>
        </row>
        <row r="1535">
          <cell r="A1535">
            <v>45650</v>
          </cell>
          <cell r="B1535">
            <v>2024003651</v>
          </cell>
          <cell r="C1535" t="str">
            <v>775-2024</v>
          </cell>
          <cell r="D1535">
            <v>4825000</v>
          </cell>
          <cell r="E1535">
            <v>12748383</v>
          </cell>
          <cell r="F1535" t="str">
            <v>ANDRES ERNESTO BRAVO  ALMEIDA</v>
          </cell>
        </row>
        <row r="1536">
          <cell r="A1536">
            <v>45650</v>
          </cell>
          <cell r="B1536">
            <v>2024003652</v>
          </cell>
          <cell r="C1536" t="str">
            <v>782-2024</v>
          </cell>
          <cell r="D1536">
            <v>3000000</v>
          </cell>
          <cell r="E1536">
            <v>1004535234</v>
          </cell>
          <cell r="F1536" t="str">
            <v>BRIGIT ESNIT GARCIA MANCHABAJOY</v>
          </cell>
        </row>
        <row r="1537">
          <cell r="A1537">
            <v>45650</v>
          </cell>
          <cell r="B1537">
            <v>2024003653</v>
          </cell>
          <cell r="C1537" t="str">
            <v>1045-2024</v>
          </cell>
          <cell r="D1537">
            <v>3000000</v>
          </cell>
          <cell r="E1537">
            <v>1085283703</v>
          </cell>
          <cell r="F1537" t="str">
            <v>INGRID ELIZABETH CASTILLO MONCAYO</v>
          </cell>
        </row>
        <row r="1538">
          <cell r="A1538">
            <v>45650</v>
          </cell>
          <cell r="B1538">
            <v>2024003655</v>
          </cell>
          <cell r="C1538" t="str">
            <v>640-2024</v>
          </cell>
          <cell r="D1538">
            <v>4750000</v>
          </cell>
          <cell r="E1538">
            <v>1087413951</v>
          </cell>
          <cell r="F1538" t="str">
            <v>MAYERLY NORIDIA ASMAZA GETIAL</v>
          </cell>
        </row>
        <row r="1539">
          <cell r="A1539">
            <v>45650</v>
          </cell>
          <cell r="B1539">
            <v>2024003656</v>
          </cell>
          <cell r="C1539" t="str">
            <v>909-2024</v>
          </cell>
          <cell r="D1539">
            <v>3000000</v>
          </cell>
          <cell r="E1539">
            <v>1085319295</v>
          </cell>
          <cell r="F1539" t="str">
            <v>CLAUDIA EDILMA PAZ GUERRA</v>
          </cell>
        </row>
        <row r="1540">
          <cell r="A1540">
            <v>45650</v>
          </cell>
          <cell r="B1540">
            <v>2024003657</v>
          </cell>
          <cell r="C1540" t="str">
            <v>661-2024</v>
          </cell>
          <cell r="D1540">
            <v>7540000</v>
          </cell>
          <cell r="E1540">
            <v>1085345430</v>
          </cell>
          <cell r="F1540" t="str">
            <v>MARIA CAMILA PAZ ARCOS</v>
          </cell>
        </row>
        <row r="1541">
          <cell r="A1541">
            <v>45650</v>
          </cell>
          <cell r="B1541">
            <v>2024003658</v>
          </cell>
          <cell r="C1541" t="str">
            <v>705-2024</v>
          </cell>
          <cell r="D1541">
            <v>3000000</v>
          </cell>
          <cell r="E1541">
            <v>1004508436</v>
          </cell>
          <cell r="F1541" t="str">
            <v>VALERIA FERNANDA CUASQUER CANTUCA</v>
          </cell>
        </row>
        <row r="1542">
          <cell r="A1542">
            <v>45650</v>
          </cell>
          <cell r="B1542">
            <v>2024003659</v>
          </cell>
          <cell r="C1542" t="str">
            <v>990-2024</v>
          </cell>
          <cell r="D1542">
            <v>4825000</v>
          </cell>
          <cell r="E1542">
            <v>1086755334</v>
          </cell>
          <cell r="F1542" t="str">
            <v>JAVIER DARIO PANTOJA ROSERO</v>
          </cell>
        </row>
        <row r="1543">
          <cell r="A1543">
            <v>45650</v>
          </cell>
          <cell r="B1543">
            <v>2024003660</v>
          </cell>
          <cell r="C1543" t="str">
            <v>1047-2024</v>
          </cell>
          <cell r="D1543">
            <v>3000000</v>
          </cell>
          <cell r="E1543">
            <v>13069881</v>
          </cell>
          <cell r="F1543" t="str">
            <v>FRAN GIOVANNY GETIAL CHICAIZA</v>
          </cell>
        </row>
        <row r="1544">
          <cell r="A1544">
            <v>45650</v>
          </cell>
          <cell r="B1544">
            <v>2024003661</v>
          </cell>
          <cell r="C1544" t="str">
            <v>752-2024</v>
          </cell>
          <cell r="D1544">
            <v>4825000</v>
          </cell>
          <cell r="E1544">
            <v>59310622</v>
          </cell>
          <cell r="F1544" t="str">
            <v>LIDA CRISTINA GUERRERO MIRAMAG</v>
          </cell>
        </row>
        <row r="1545">
          <cell r="A1545">
            <v>45650</v>
          </cell>
          <cell r="B1545">
            <v>2024003662</v>
          </cell>
          <cell r="C1545" t="str">
            <v>853-2024</v>
          </cell>
          <cell r="D1545">
            <v>7540000</v>
          </cell>
          <cell r="E1545">
            <v>1085296958</v>
          </cell>
          <cell r="F1545" t="str">
            <v>MARIO ALEXANDER MENA RODRIGUEZ</v>
          </cell>
        </row>
        <row r="1546">
          <cell r="A1546">
            <v>45650</v>
          </cell>
          <cell r="B1546">
            <v>2024003663</v>
          </cell>
          <cell r="C1546" t="str">
            <v>880-2024</v>
          </cell>
          <cell r="D1546">
            <v>7540000</v>
          </cell>
          <cell r="E1546">
            <v>1085293105</v>
          </cell>
          <cell r="F1546" t="str">
            <v>CAMILO JAVIER OÑATE BUCHELI</v>
          </cell>
        </row>
        <row r="1547">
          <cell r="A1547">
            <v>45650</v>
          </cell>
          <cell r="B1547">
            <v>2024003664</v>
          </cell>
          <cell r="C1547" t="str">
            <v>806-2024</v>
          </cell>
          <cell r="D1547">
            <v>3000000</v>
          </cell>
          <cell r="E1547">
            <v>1004726758</v>
          </cell>
          <cell r="F1547" t="str">
            <v>NORIDA JULIETH TOBAR ARTEAGA</v>
          </cell>
        </row>
        <row r="1548">
          <cell r="A1548">
            <v>45650</v>
          </cell>
          <cell r="B1548">
            <v>2024003665</v>
          </cell>
          <cell r="C1548" t="str">
            <v>997-2024</v>
          </cell>
          <cell r="D1548">
            <v>4825000</v>
          </cell>
          <cell r="E1548">
            <v>1085289539</v>
          </cell>
          <cell r="F1548" t="str">
            <v>DEISY YOLANDA ADARMES MUÑOZ</v>
          </cell>
        </row>
        <row r="1549">
          <cell r="A1549">
            <v>45650</v>
          </cell>
          <cell r="B1549">
            <v>2024003666</v>
          </cell>
          <cell r="C1549" t="str">
            <v>741-2024</v>
          </cell>
          <cell r="D1549">
            <v>6000000</v>
          </cell>
          <cell r="E1549">
            <v>1082748420</v>
          </cell>
          <cell r="F1549" t="str">
            <v>NATHALIA  ROSERO RODRIGUEZ</v>
          </cell>
        </row>
        <row r="1550">
          <cell r="A1550">
            <v>45650</v>
          </cell>
          <cell r="B1550">
            <v>2024003667</v>
          </cell>
          <cell r="C1550" t="str">
            <v>843-2024</v>
          </cell>
          <cell r="D1550">
            <v>3000000</v>
          </cell>
          <cell r="E1550">
            <v>59813323</v>
          </cell>
          <cell r="F1550" t="str">
            <v>GARCIA JOJOA EDITH CRISTINA</v>
          </cell>
        </row>
        <row r="1551">
          <cell r="A1551">
            <v>45650</v>
          </cell>
          <cell r="B1551">
            <v>2024003668</v>
          </cell>
          <cell r="C1551" t="str">
            <v>779-2024</v>
          </cell>
          <cell r="D1551">
            <v>3000000</v>
          </cell>
          <cell r="E1551">
            <v>1085286742</v>
          </cell>
          <cell r="F1551" t="str">
            <v>VANESSA KATHERINE JOJOA ARIAS</v>
          </cell>
        </row>
        <row r="1552">
          <cell r="A1552">
            <v>45650</v>
          </cell>
          <cell r="B1552">
            <v>2024003669</v>
          </cell>
          <cell r="C1552" t="str">
            <v>1055-2024</v>
          </cell>
          <cell r="D1552">
            <v>3000000</v>
          </cell>
          <cell r="E1552">
            <v>1004437571</v>
          </cell>
          <cell r="F1552" t="str">
            <v>JULIANA ANDREA PAZ JOJOA</v>
          </cell>
        </row>
        <row r="1553">
          <cell r="A1553">
            <v>45650</v>
          </cell>
          <cell r="B1553">
            <v>2024003670</v>
          </cell>
          <cell r="C1553" t="str">
            <v>733-2024</v>
          </cell>
          <cell r="D1553">
            <v>3000000</v>
          </cell>
          <cell r="E1553">
            <v>1085290651</v>
          </cell>
          <cell r="F1553" t="str">
            <v>INDIRA TAMARA PALACIOS BUSTOS</v>
          </cell>
        </row>
        <row r="1554">
          <cell r="A1554">
            <v>45650</v>
          </cell>
          <cell r="B1554">
            <v>2024003671</v>
          </cell>
          <cell r="C1554" t="str">
            <v>788-2024</v>
          </cell>
          <cell r="D1554">
            <v>3000000</v>
          </cell>
          <cell r="E1554">
            <v>1086329609</v>
          </cell>
          <cell r="F1554" t="str">
            <v>LORENA DEL CARMEN  OJEDA VAZQUEZ</v>
          </cell>
        </row>
        <row r="1555">
          <cell r="A1555">
            <v>45650</v>
          </cell>
          <cell r="B1555">
            <v>2024003672</v>
          </cell>
          <cell r="C1555" t="str">
            <v>820-2024</v>
          </cell>
          <cell r="D1555">
            <v>6000000</v>
          </cell>
          <cell r="E1555">
            <v>1193223736</v>
          </cell>
          <cell r="F1555" t="str">
            <v>EMILY  ROMERO MENDOZA</v>
          </cell>
        </row>
        <row r="1556">
          <cell r="A1556">
            <v>45650</v>
          </cell>
          <cell r="B1556">
            <v>2024003673</v>
          </cell>
          <cell r="C1556" t="str">
            <v>685-2024</v>
          </cell>
          <cell r="D1556">
            <v>4750000</v>
          </cell>
          <cell r="E1556">
            <v>1233192618</v>
          </cell>
          <cell r="F1556" t="str">
            <v>KARLA VALERIA AZA  CEPEDA</v>
          </cell>
        </row>
        <row r="1557">
          <cell r="A1557">
            <v>45650</v>
          </cell>
          <cell r="B1557">
            <v>2024003674</v>
          </cell>
          <cell r="C1557" t="str">
            <v>696-2024</v>
          </cell>
          <cell r="D1557">
            <v>4750000</v>
          </cell>
          <cell r="E1557">
            <v>1087422930</v>
          </cell>
          <cell r="F1557" t="str">
            <v>MARIA FERNANDA SANCHEZ CARDENAS</v>
          </cell>
        </row>
        <row r="1558">
          <cell r="A1558">
            <v>45650</v>
          </cell>
          <cell r="B1558">
            <v>2024003675</v>
          </cell>
          <cell r="C1558" t="str">
            <v>1032-2024</v>
          </cell>
          <cell r="D1558">
            <v>3000000</v>
          </cell>
          <cell r="E1558">
            <v>1088733625</v>
          </cell>
          <cell r="F1558" t="str">
            <v>YOLLDY LIZETH CABRERA FUERTES</v>
          </cell>
        </row>
        <row r="1559">
          <cell r="A1559">
            <v>45650</v>
          </cell>
          <cell r="B1559">
            <v>2024003676</v>
          </cell>
          <cell r="C1559" t="str">
            <v>995-2024</v>
          </cell>
          <cell r="D1559">
            <v>7540000</v>
          </cell>
          <cell r="E1559">
            <v>1085291725</v>
          </cell>
          <cell r="F1559" t="str">
            <v>LAURA VIVIANA  LASSO GONZALEZ</v>
          </cell>
        </row>
        <row r="1560">
          <cell r="A1560">
            <v>45650</v>
          </cell>
          <cell r="B1560">
            <v>2024003677</v>
          </cell>
          <cell r="C1560" t="str">
            <v>635-2024</v>
          </cell>
          <cell r="D1560">
            <v>4825000</v>
          </cell>
          <cell r="E1560">
            <v>59314451</v>
          </cell>
          <cell r="F1560" t="str">
            <v>ERIKA JOHANNA OBANDO SANTACRUZ</v>
          </cell>
        </row>
        <row r="1561">
          <cell r="A1561">
            <v>45650</v>
          </cell>
          <cell r="B1561">
            <v>2024003678</v>
          </cell>
          <cell r="C1561" t="str">
            <v>644-2024</v>
          </cell>
          <cell r="D1561">
            <v>4750000</v>
          </cell>
          <cell r="E1561">
            <v>59824313</v>
          </cell>
          <cell r="F1561" t="str">
            <v>FANY LUCELY RODRIGUEZ CRIOLLO</v>
          </cell>
        </row>
        <row r="1562">
          <cell r="A1562">
            <v>45650</v>
          </cell>
          <cell r="B1562">
            <v>2024003679</v>
          </cell>
          <cell r="C1562" t="str">
            <v>689-2024</v>
          </cell>
          <cell r="D1562">
            <v>3000000</v>
          </cell>
          <cell r="E1562">
            <v>1004635031</v>
          </cell>
          <cell r="F1562" t="str">
            <v>ASTRID CAROLINA CAICEDO LUNA</v>
          </cell>
        </row>
        <row r="1563">
          <cell r="A1563">
            <v>45650</v>
          </cell>
          <cell r="B1563">
            <v>2024003680</v>
          </cell>
          <cell r="C1563" t="str">
            <v>855-2024</v>
          </cell>
          <cell r="D1563">
            <v>2500000</v>
          </cell>
          <cell r="E1563">
            <v>1085338135</v>
          </cell>
          <cell r="F1563" t="str">
            <v>NATHALIE CAROLINA ESTRADA SE LA CRUZ</v>
          </cell>
        </row>
        <row r="1564">
          <cell r="A1564">
            <v>45650</v>
          </cell>
          <cell r="B1564">
            <v>2024003681</v>
          </cell>
          <cell r="C1564" t="str">
            <v>645-2024</v>
          </cell>
          <cell r="D1564">
            <v>6000000</v>
          </cell>
          <cell r="E1564">
            <v>1089242085</v>
          </cell>
          <cell r="F1564" t="str">
            <v>DANNY YESID DELGADO MORA</v>
          </cell>
        </row>
        <row r="1565">
          <cell r="A1565">
            <v>45650</v>
          </cell>
          <cell r="B1565">
            <v>2024003682</v>
          </cell>
          <cell r="C1565" t="str">
            <v>808-2024</v>
          </cell>
          <cell r="D1565">
            <v>4825000</v>
          </cell>
          <cell r="E1565">
            <v>1085311814</v>
          </cell>
          <cell r="F1565" t="str">
            <v>LAURA CAROLINA DELGADO BASTIDAS</v>
          </cell>
        </row>
        <row r="1566">
          <cell r="A1566">
            <v>45650</v>
          </cell>
          <cell r="B1566">
            <v>2024003683</v>
          </cell>
          <cell r="C1566" t="str">
            <v>877-2024</v>
          </cell>
          <cell r="D1566">
            <v>4825000</v>
          </cell>
          <cell r="E1566">
            <v>1085332406</v>
          </cell>
          <cell r="F1566" t="str">
            <v>MERCY LORENA SACANAMBUY LOPEZ</v>
          </cell>
        </row>
        <row r="1567">
          <cell r="A1567">
            <v>45650</v>
          </cell>
          <cell r="B1567">
            <v>2024003684</v>
          </cell>
          <cell r="C1567" t="str">
            <v>1068-2024</v>
          </cell>
          <cell r="D1567">
            <v>3000000</v>
          </cell>
          <cell r="E1567">
            <v>1193273142</v>
          </cell>
          <cell r="F1567" t="str">
            <v>ZONIA ESMERALDA VILLOTA ARMERO</v>
          </cell>
        </row>
        <row r="1568">
          <cell r="A1568">
            <v>45650</v>
          </cell>
          <cell r="B1568">
            <v>2024003685</v>
          </cell>
          <cell r="C1568" t="str">
            <v>824-2024</v>
          </cell>
          <cell r="D1568">
            <v>3000000</v>
          </cell>
          <cell r="E1568">
            <v>1086328142</v>
          </cell>
          <cell r="F1568" t="str">
            <v>ZULY MARINA HIDALGO JOJOA</v>
          </cell>
        </row>
        <row r="1569">
          <cell r="A1569">
            <v>45650</v>
          </cell>
          <cell r="B1569">
            <v>2024003686</v>
          </cell>
          <cell r="C1569" t="str">
            <v>915-2024</v>
          </cell>
          <cell r="D1569">
            <v>4750000</v>
          </cell>
          <cell r="E1569">
            <v>1085343783</v>
          </cell>
          <cell r="F1569" t="str">
            <v>DANIELA ALEXANDRA DIAZ GUERRERO</v>
          </cell>
        </row>
        <row r="1570">
          <cell r="A1570">
            <v>45650</v>
          </cell>
          <cell r="B1570">
            <v>2024003687</v>
          </cell>
          <cell r="C1570" t="str">
            <v>848-2024</v>
          </cell>
          <cell r="D1570">
            <v>4825000</v>
          </cell>
          <cell r="E1570">
            <v>1085321578</v>
          </cell>
          <cell r="F1570" t="str">
            <v>CAROL  SUVANY HERRERA ERAZO</v>
          </cell>
        </row>
        <row r="1571">
          <cell r="A1571">
            <v>45650</v>
          </cell>
          <cell r="B1571">
            <v>2024003688</v>
          </cell>
          <cell r="C1571" t="str">
            <v>835-2024</v>
          </cell>
          <cell r="D1571">
            <v>4825000</v>
          </cell>
          <cell r="E1571">
            <v>27088141</v>
          </cell>
          <cell r="F1571" t="str">
            <v>CONSTANZA HAIDY UNIGARRO PAZ</v>
          </cell>
        </row>
        <row r="1572">
          <cell r="A1572">
            <v>45650</v>
          </cell>
          <cell r="B1572">
            <v>2024003689</v>
          </cell>
          <cell r="C1572" t="str">
            <v>744-2024</v>
          </cell>
          <cell r="D1572">
            <v>3000000</v>
          </cell>
          <cell r="E1572">
            <v>1085327677</v>
          </cell>
          <cell r="F1572" t="str">
            <v>JINETH VANESA CONSTAIN LASSO</v>
          </cell>
        </row>
        <row r="1573">
          <cell r="A1573">
            <v>45650</v>
          </cell>
          <cell r="B1573">
            <v>2024003690</v>
          </cell>
          <cell r="C1573" t="str">
            <v>704-2024</v>
          </cell>
          <cell r="D1573">
            <v>90205000</v>
          </cell>
          <cell r="E1573">
            <v>900994364</v>
          </cell>
          <cell r="F1573" t="str">
            <v>FUNDACIÓN CALIDAD DE VIDA Y ESPERANZA</v>
          </cell>
        </row>
        <row r="1574">
          <cell r="A1574">
            <v>45650</v>
          </cell>
          <cell r="B1574">
            <v>2024003691</v>
          </cell>
          <cell r="C1574" t="str">
            <v>1007-2024</v>
          </cell>
          <cell r="D1574">
            <v>7540000</v>
          </cell>
          <cell r="E1574">
            <v>1085251158</v>
          </cell>
          <cell r="F1574" t="str">
            <v>OMAR ALEXANDER ORTIZ PAZMIÑO</v>
          </cell>
        </row>
        <row r="1575">
          <cell r="A1575">
            <v>45650</v>
          </cell>
          <cell r="B1575">
            <v>2024003692</v>
          </cell>
          <cell r="C1575" t="str">
            <v>815-2024</v>
          </cell>
          <cell r="D1575">
            <v>3000000</v>
          </cell>
          <cell r="E1575">
            <v>1193218691</v>
          </cell>
          <cell r="F1575" t="str">
            <v>BRENDA DAYANA TABLA PULISTAR</v>
          </cell>
        </row>
        <row r="1576">
          <cell r="A1576">
            <v>45650</v>
          </cell>
          <cell r="B1576">
            <v>2024003693</v>
          </cell>
          <cell r="C1576" t="str">
            <v>747-2024</v>
          </cell>
          <cell r="D1576">
            <v>3000000</v>
          </cell>
          <cell r="E1576">
            <v>1085318688</v>
          </cell>
          <cell r="F1576" t="str">
            <v>DARLLY ROXANA ROSERO TIMARÁN</v>
          </cell>
        </row>
        <row r="1577">
          <cell r="A1577">
            <v>45650</v>
          </cell>
          <cell r="B1577">
            <v>2024003694</v>
          </cell>
          <cell r="C1577" t="str">
            <v>925-2024</v>
          </cell>
          <cell r="D1577">
            <v>6000000</v>
          </cell>
          <cell r="E1577">
            <v>1004131723</v>
          </cell>
          <cell r="F1577" t="str">
            <v>ALEJANDRA LUCIA BENAVIDES ZAMORA</v>
          </cell>
        </row>
        <row r="1578">
          <cell r="A1578">
            <v>45650</v>
          </cell>
          <cell r="B1578">
            <v>2024003695</v>
          </cell>
          <cell r="C1578" t="str">
            <v>928-2024</v>
          </cell>
          <cell r="D1578">
            <v>7540000</v>
          </cell>
          <cell r="E1578">
            <v>1233193882</v>
          </cell>
          <cell r="F1578" t="str">
            <v>YULI NATHALIA CALI RODRIGUEZ</v>
          </cell>
        </row>
        <row r="1579">
          <cell r="A1579">
            <v>45650</v>
          </cell>
          <cell r="B1579">
            <v>2024003696</v>
          </cell>
          <cell r="C1579" t="str">
            <v>856-2024</v>
          </cell>
          <cell r="D1579">
            <v>3000000</v>
          </cell>
          <cell r="E1579">
            <v>1085339190</v>
          </cell>
          <cell r="F1579" t="str">
            <v>KELLY YURANY JOJOA BOTINA</v>
          </cell>
        </row>
        <row r="1580">
          <cell r="A1580">
            <v>45650</v>
          </cell>
          <cell r="B1580">
            <v>2024003697</v>
          </cell>
          <cell r="C1580" t="str">
            <v>876-2024</v>
          </cell>
          <cell r="D1580">
            <v>3000000</v>
          </cell>
          <cell r="E1580">
            <v>1085330237</v>
          </cell>
          <cell r="F1580" t="str">
            <v>LUZ  MARINA BENAVIDES  BASTIDAS</v>
          </cell>
        </row>
        <row r="1581">
          <cell r="A1581">
            <v>45650</v>
          </cell>
          <cell r="B1581">
            <v>2024003699</v>
          </cell>
          <cell r="C1581" t="str">
            <v>814-2024</v>
          </cell>
          <cell r="D1581">
            <v>4825000</v>
          </cell>
          <cell r="E1581">
            <v>1085269530</v>
          </cell>
          <cell r="F1581" t="str">
            <v xml:space="preserve">CLARA MARIA ACOSTA </v>
          </cell>
        </row>
        <row r="1582">
          <cell r="A1582">
            <v>45650</v>
          </cell>
          <cell r="B1582">
            <v>2024003701</v>
          </cell>
          <cell r="C1582" t="str">
            <v>966-2024</v>
          </cell>
          <cell r="D1582">
            <v>2500000</v>
          </cell>
          <cell r="E1582">
            <v>1085268450</v>
          </cell>
          <cell r="F1582" t="str">
            <v>MONICA PATRICIA JOJOA BOTINA</v>
          </cell>
        </row>
        <row r="1583">
          <cell r="A1583">
            <v>45650</v>
          </cell>
          <cell r="B1583">
            <v>2024003702</v>
          </cell>
          <cell r="C1583" t="str">
            <v>946-2024</v>
          </cell>
          <cell r="D1583">
            <v>6000000</v>
          </cell>
          <cell r="E1583">
            <v>1233193716</v>
          </cell>
          <cell r="F1583" t="str">
            <v>MARIA CAMILA PATIÑO DELGADO</v>
          </cell>
        </row>
        <row r="1584">
          <cell r="A1584">
            <v>45650</v>
          </cell>
          <cell r="B1584">
            <v>2024003703</v>
          </cell>
          <cell r="C1584" t="str">
            <v>1010-2024</v>
          </cell>
          <cell r="D1584">
            <v>7540000</v>
          </cell>
          <cell r="E1584">
            <v>1085327344</v>
          </cell>
          <cell r="F1584" t="str">
            <v>MARIANA ELIZABETH ROMO PANTOJA</v>
          </cell>
        </row>
        <row r="1585">
          <cell r="A1585">
            <v>45650</v>
          </cell>
          <cell r="B1585">
            <v>2024003704</v>
          </cell>
          <cell r="C1585" t="str">
            <v>1039-2024</v>
          </cell>
          <cell r="D1585">
            <v>195005000</v>
          </cell>
          <cell r="E1585">
            <v>900994364</v>
          </cell>
          <cell r="F1585" t="str">
            <v>FUNDACIÓN CALIDAD DE VIDA Y ESPERANZA</v>
          </cell>
        </row>
        <row r="1586">
          <cell r="A1586">
            <v>45650</v>
          </cell>
          <cell r="B1586">
            <v>2024003705</v>
          </cell>
          <cell r="C1586" t="str">
            <v>813-2024</v>
          </cell>
          <cell r="D1586">
            <v>2500000</v>
          </cell>
          <cell r="E1586">
            <v>36757715</v>
          </cell>
          <cell r="F1586" t="str">
            <v>SONIA DEL ROCIO GOMEZ NARVAEZ</v>
          </cell>
        </row>
        <row r="1587">
          <cell r="A1587">
            <v>45650</v>
          </cell>
          <cell r="B1587">
            <v>2024003706</v>
          </cell>
          <cell r="C1587" t="str">
            <v>1058-2024</v>
          </cell>
          <cell r="D1587">
            <v>2500000</v>
          </cell>
          <cell r="E1587">
            <v>37083937</v>
          </cell>
          <cell r="F1587" t="str">
            <v xml:space="preserve">MERCEDES OLIVIA POVEDA </v>
          </cell>
        </row>
        <row r="1588">
          <cell r="A1588">
            <v>45650</v>
          </cell>
          <cell r="B1588">
            <v>2024003707</v>
          </cell>
          <cell r="C1588" t="str">
            <v>911-2024</v>
          </cell>
          <cell r="D1588">
            <v>2500000</v>
          </cell>
          <cell r="E1588">
            <v>1085314075</v>
          </cell>
          <cell r="F1588" t="str">
            <v>LORENA CATERINE ASCUNTAR CUAJIBIOY</v>
          </cell>
        </row>
        <row r="1589">
          <cell r="A1589">
            <v>45650</v>
          </cell>
          <cell r="B1589">
            <v>2024003708</v>
          </cell>
          <cell r="C1589" t="str">
            <v>974-2024</v>
          </cell>
          <cell r="D1589">
            <v>4750000</v>
          </cell>
          <cell r="E1589">
            <v>1085245714</v>
          </cell>
          <cell r="F1589" t="str">
            <v>MONICA NATALY PALACIOS  BASTIDAS</v>
          </cell>
        </row>
        <row r="1590">
          <cell r="A1590">
            <v>45650</v>
          </cell>
          <cell r="B1590">
            <v>2024003709</v>
          </cell>
          <cell r="C1590" t="str">
            <v>917-2024</v>
          </cell>
          <cell r="D1590">
            <v>2500000</v>
          </cell>
          <cell r="E1590">
            <v>27094521</v>
          </cell>
          <cell r="F1590" t="str">
            <v>RUTH JACQUELINE GAMEZ PABON</v>
          </cell>
        </row>
        <row r="1591">
          <cell r="A1591">
            <v>45650</v>
          </cell>
          <cell r="B1591">
            <v>2024003711</v>
          </cell>
          <cell r="C1591" t="str">
            <v>894-2024</v>
          </cell>
          <cell r="D1591">
            <v>3000000</v>
          </cell>
          <cell r="E1591">
            <v>59311295</v>
          </cell>
          <cell r="F1591" t="str">
            <v>BASTIDAS MORA MYRIAM JANNETH</v>
          </cell>
        </row>
        <row r="1592">
          <cell r="A1592">
            <v>45650</v>
          </cell>
          <cell r="B1592">
            <v>2024003712</v>
          </cell>
          <cell r="C1592" t="str">
            <v>649-2024</v>
          </cell>
          <cell r="D1592">
            <v>7540000</v>
          </cell>
          <cell r="E1592">
            <v>12961407</v>
          </cell>
          <cell r="F1592" t="str">
            <v>FRANCO JESUS RODRIGUEZ ARAUJO</v>
          </cell>
        </row>
        <row r="1593">
          <cell r="A1593">
            <v>45650</v>
          </cell>
          <cell r="B1593">
            <v>2024003713</v>
          </cell>
          <cell r="C1593" t="str">
            <v>966-2024</v>
          </cell>
          <cell r="D1593">
            <v>2500000</v>
          </cell>
          <cell r="E1593">
            <v>1085268450</v>
          </cell>
          <cell r="F1593" t="str">
            <v>MONICA PATRICIA JOJOA BOTINA</v>
          </cell>
        </row>
        <row r="1594">
          <cell r="A1594">
            <v>45650</v>
          </cell>
          <cell r="B1594">
            <v>2024003715</v>
          </cell>
          <cell r="C1594" t="str">
            <v>742-2024</v>
          </cell>
          <cell r="D1594">
            <v>3000000</v>
          </cell>
          <cell r="E1594">
            <v>13070330</v>
          </cell>
          <cell r="F1594" t="str">
            <v>ELBER ALFREDO CAMPAÑA IMBAQUIN</v>
          </cell>
        </row>
        <row r="1595">
          <cell r="A1595">
            <v>45650</v>
          </cell>
          <cell r="B1595">
            <v>2024003716</v>
          </cell>
          <cell r="C1595" t="str">
            <v>918-2024</v>
          </cell>
          <cell r="D1595">
            <v>3000000</v>
          </cell>
          <cell r="E1595">
            <v>1080046034</v>
          </cell>
          <cell r="F1595" t="str">
            <v>GABRIEL SEBASTIAN MORINELLY ROJAS</v>
          </cell>
        </row>
        <row r="1596">
          <cell r="A1596">
            <v>45650</v>
          </cell>
          <cell r="B1596">
            <v>2024003717</v>
          </cell>
          <cell r="C1596" t="str">
            <v>933-2024</v>
          </cell>
          <cell r="D1596">
            <v>2500000</v>
          </cell>
          <cell r="E1596">
            <v>12994466</v>
          </cell>
          <cell r="F1596" t="str">
            <v>JHON JAIRO GOMAJOA ACHICANOY</v>
          </cell>
        </row>
        <row r="1597">
          <cell r="A1597">
            <v>45650</v>
          </cell>
          <cell r="B1597">
            <v>2024003718</v>
          </cell>
          <cell r="C1597" t="str">
            <v>717-2024</v>
          </cell>
          <cell r="D1597">
            <v>4750000</v>
          </cell>
          <cell r="E1597">
            <v>1085324546</v>
          </cell>
          <cell r="F1597" t="str">
            <v>ERIKA PAOLA ESTRADA  BURBANO</v>
          </cell>
        </row>
        <row r="1598">
          <cell r="A1598">
            <v>45650</v>
          </cell>
          <cell r="B1598">
            <v>2024003719</v>
          </cell>
          <cell r="C1598" t="str">
            <v>984-2024</v>
          </cell>
          <cell r="D1598">
            <v>3000000</v>
          </cell>
          <cell r="E1598">
            <v>1086222977</v>
          </cell>
          <cell r="F1598" t="str">
            <v>LEIDY JOHANA MERA CONDE</v>
          </cell>
        </row>
        <row r="1599">
          <cell r="A1599">
            <v>45650</v>
          </cell>
          <cell r="B1599">
            <v>2024003720</v>
          </cell>
          <cell r="C1599" t="str">
            <v>673-2024</v>
          </cell>
          <cell r="D1599">
            <v>7540000</v>
          </cell>
          <cell r="E1599">
            <v>1233189066</v>
          </cell>
          <cell r="F1599" t="str">
            <v>GERALDINE  VIVIANA VILLOTA ARTEAGA</v>
          </cell>
        </row>
        <row r="1600">
          <cell r="A1600">
            <v>45650</v>
          </cell>
          <cell r="B1600">
            <v>2024003721</v>
          </cell>
          <cell r="C1600" t="str">
            <v>677-2024</v>
          </cell>
          <cell r="D1600">
            <v>4750000</v>
          </cell>
          <cell r="E1600">
            <v>1085325342</v>
          </cell>
          <cell r="F1600" t="str">
            <v>JORGE LUIS CARVAJAL GUACHAVEZ</v>
          </cell>
        </row>
        <row r="1601">
          <cell r="A1601">
            <v>45650</v>
          </cell>
          <cell r="B1601">
            <v>2024003723</v>
          </cell>
          <cell r="C1601" t="str">
            <v>677-2024</v>
          </cell>
          <cell r="D1601">
            <v>4750000</v>
          </cell>
          <cell r="E1601">
            <v>1085325342</v>
          </cell>
          <cell r="F1601" t="str">
            <v>JORGE LUIS CARVAJAL GUACHAVEZ</v>
          </cell>
        </row>
        <row r="1602">
          <cell r="A1602">
            <v>45650</v>
          </cell>
          <cell r="B1602">
            <v>2024003724</v>
          </cell>
          <cell r="C1602" t="str">
            <v>650-2024</v>
          </cell>
          <cell r="D1602">
            <v>6000000</v>
          </cell>
          <cell r="E1602">
            <v>97470681</v>
          </cell>
          <cell r="F1602" t="str">
            <v>FERNANDO TEOFILO ROSERO PATIÑO</v>
          </cell>
        </row>
        <row r="1603">
          <cell r="A1603">
            <v>45650</v>
          </cell>
          <cell r="B1603">
            <v>2024003725</v>
          </cell>
          <cell r="C1603" t="str">
            <v>1015-2024</v>
          </cell>
          <cell r="D1603">
            <v>3000000</v>
          </cell>
          <cell r="E1603">
            <v>1085255829</v>
          </cell>
          <cell r="F1603" t="str">
            <v xml:space="preserve">JOHANA KATERINE GONZALEZ </v>
          </cell>
        </row>
        <row r="1604">
          <cell r="A1604">
            <v>45650</v>
          </cell>
          <cell r="B1604">
            <v>2024003726</v>
          </cell>
          <cell r="C1604" t="str">
            <v>679-2024</v>
          </cell>
          <cell r="D1604">
            <v>6000000</v>
          </cell>
          <cell r="E1604">
            <v>36954410</v>
          </cell>
          <cell r="F1604" t="str">
            <v>KARINA MARIBEL LUNA LOPEZ</v>
          </cell>
        </row>
        <row r="1605">
          <cell r="A1605">
            <v>45650</v>
          </cell>
          <cell r="B1605">
            <v>2024003732</v>
          </cell>
          <cell r="C1605" t="str">
            <v>811-2024</v>
          </cell>
          <cell r="D1605">
            <v>2500000</v>
          </cell>
          <cell r="E1605">
            <v>36753698</v>
          </cell>
          <cell r="F1605" t="str">
            <v>ANA MILENA JACANMIJOY TREJO</v>
          </cell>
        </row>
        <row r="1606">
          <cell r="A1606">
            <v>45650</v>
          </cell>
          <cell r="B1606">
            <v>2024003733</v>
          </cell>
          <cell r="C1606" t="str">
            <v>959-2024</v>
          </cell>
          <cell r="D1606">
            <v>3000000</v>
          </cell>
          <cell r="E1606">
            <v>1193035720</v>
          </cell>
          <cell r="F1606" t="str">
            <v>KAREN JULIANA ERAZO JURADO</v>
          </cell>
        </row>
        <row r="1607">
          <cell r="A1607">
            <v>45650</v>
          </cell>
          <cell r="B1607">
            <v>2024003734</v>
          </cell>
          <cell r="C1607" t="str">
            <v>1016-2024</v>
          </cell>
          <cell r="D1607">
            <v>4825000</v>
          </cell>
          <cell r="E1607">
            <v>37086141</v>
          </cell>
          <cell r="F1607" t="str">
            <v>MARIA FERNANDA ERAZO SANCHEZ</v>
          </cell>
        </row>
        <row r="1608">
          <cell r="A1608">
            <v>45650</v>
          </cell>
          <cell r="B1608">
            <v>2024003735</v>
          </cell>
          <cell r="C1608" t="str">
            <v>939-2024</v>
          </cell>
          <cell r="D1608">
            <v>6000000</v>
          </cell>
          <cell r="E1608">
            <v>59588823</v>
          </cell>
          <cell r="F1608" t="str">
            <v>ZANDRA YADIRA GOMEZ ZAMBRANO</v>
          </cell>
        </row>
        <row r="1609">
          <cell r="A1609">
            <v>45650</v>
          </cell>
          <cell r="B1609">
            <v>2024003736</v>
          </cell>
          <cell r="C1609" t="str">
            <v>916-2024</v>
          </cell>
          <cell r="D1609">
            <v>3000000</v>
          </cell>
          <cell r="E1609">
            <v>1085322676</v>
          </cell>
          <cell r="F1609" t="str">
            <v>JULIANA ALEJANDRA BASTIDAS JOJOA</v>
          </cell>
        </row>
        <row r="1610">
          <cell r="A1610">
            <v>45650</v>
          </cell>
          <cell r="B1610">
            <v>2024003737</v>
          </cell>
          <cell r="C1610" t="str">
            <v>807-2024</v>
          </cell>
          <cell r="D1610">
            <v>3000000</v>
          </cell>
          <cell r="E1610">
            <v>1004131976</v>
          </cell>
          <cell r="F1610" t="str">
            <v>LUISA CAROLINA SANTACRUZ SANTACRUZ</v>
          </cell>
        </row>
        <row r="1611">
          <cell r="A1611">
            <v>45650</v>
          </cell>
          <cell r="B1611">
            <v>2024003738</v>
          </cell>
          <cell r="C1611" t="str">
            <v>805-2024</v>
          </cell>
          <cell r="D1611">
            <v>3000000</v>
          </cell>
          <cell r="E1611">
            <v>1085269090</v>
          </cell>
          <cell r="F1611" t="str">
            <v>FHALOM CAROLINA ROSERO TORRES</v>
          </cell>
        </row>
        <row r="1612">
          <cell r="A1612">
            <v>45650</v>
          </cell>
          <cell r="B1612">
            <v>2024003739</v>
          </cell>
          <cell r="C1612" t="str">
            <v>942-2024</v>
          </cell>
          <cell r="D1612">
            <v>7540000</v>
          </cell>
          <cell r="E1612">
            <v>1085312978</v>
          </cell>
          <cell r="F1612" t="str">
            <v>DANIEL  SALAZAR LOPEZ</v>
          </cell>
        </row>
        <row r="1613">
          <cell r="A1613">
            <v>45650</v>
          </cell>
          <cell r="B1613">
            <v>2024003740</v>
          </cell>
          <cell r="C1613" t="str">
            <v>954-2024</v>
          </cell>
          <cell r="D1613">
            <v>3000000</v>
          </cell>
          <cell r="E1613">
            <v>59833899</v>
          </cell>
          <cell r="F1613" t="str">
            <v>ANDREA LILIANA LAGUNA  RUALES</v>
          </cell>
        </row>
        <row r="1614">
          <cell r="A1614">
            <v>45650</v>
          </cell>
          <cell r="B1614">
            <v>2024003741</v>
          </cell>
          <cell r="C1614" t="str">
            <v>897-2024</v>
          </cell>
          <cell r="D1614">
            <v>4750000</v>
          </cell>
          <cell r="E1614">
            <v>1018492767</v>
          </cell>
          <cell r="F1614" t="str">
            <v>LAURA CATALINA MUÑOZ LUNA</v>
          </cell>
        </row>
        <row r="1615">
          <cell r="A1615">
            <v>45650</v>
          </cell>
          <cell r="B1615">
            <v>2024003742</v>
          </cell>
          <cell r="C1615" t="str">
            <v>896-2024</v>
          </cell>
          <cell r="D1615">
            <v>2500000</v>
          </cell>
          <cell r="E1615">
            <v>1081595853</v>
          </cell>
          <cell r="F1615" t="str">
            <v>LICETH NEYIRETH RIVERA ROSERO</v>
          </cell>
        </row>
        <row r="1616">
          <cell r="A1616">
            <v>45650</v>
          </cell>
          <cell r="B1616">
            <v>2024003743</v>
          </cell>
          <cell r="C1616" t="str">
            <v>865-2024</v>
          </cell>
          <cell r="D1616">
            <v>3000000</v>
          </cell>
          <cell r="E1616">
            <v>1081276146</v>
          </cell>
          <cell r="F1616" t="str">
            <v>LUISA FERNANDA MELO HIGIDIO</v>
          </cell>
        </row>
        <row r="1617">
          <cell r="A1617">
            <v>45650</v>
          </cell>
          <cell r="B1617">
            <v>2024003744</v>
          </cell>
          <cell r="C1617" t="str">
            <v>639-2024</v>
          </cell>
          <cell r="D1617">
            <v>4750000</v>
          </cell>
          <cell r="E1617">
            <v>1085260497</v>
          </cell>
          <cell r="F1617" t="str">
            <v>JOSE FERNANDO CHAÑA QUENGUAN</v>
          </cell>
        </row>
        <row r="1618">
          <cell r="A1618">
            <v>45650</v>
          </cell>
          <cell r="B1618">
            <v>2024003745</v>
          </cell>
          <cell r="C1618" t="str">
            <v>714-2024</v>
          </cell>
          <cell r="D1618">
            <v>3000000</v>
          </cell>
          <cell r="E1618">
            <v>59314601</v>
          </cell>
          <cell r="F1618" t="str">
            <v>CAROL VIVIANA RODRIGUEZ  CARDENAS</v>
          </cell>
        </row>
        <row r="1619">
          <cell r="A1619">
            <v>45650</v>
          </cell>
          <cell r="B1619">
            <v>2024003746</v>
          </cell>
          <cell r="C1619" t="str">
            <v>879-2024</v>
          </cell>
          <cell r="D1619">
            <v>7540000</v>
          </cell>
          <cell r="E1619">
            <v>79800150</v>
          </cell>
          <cell r="F1619" t="str">
            <v>NELSON FREDY ARCINIEGAS ORTIZ</v>
          </cell>
        </row>
        <row r="1620">
          <cell r="A1620">
            <v>45650</v>
          </cell>
          <cell r="B1620">
            <v>2024003747</v>
          </cell>
          <cell r="C1620" t="str">
            <v>1024-2024</v>
          </cell>
          <cell r="D1620">
            <v>2500000</v>
          </cell>
          <cell r="E1620">
            <v>12996869</v>
          </cell>
          <cell r="F1620" t="str">
            <v>RICAURTE ENRIQUEZ FABIO HERNAN</v>
          </cell>
        </row>
        <row r="1621">
          <cell r="A1621">
            <v>45650</v>
          </cell>
          <cell r="B1621">
            <v>2024003748</v>
          </cell>
          <cell r="C1621" t="str">
            <v>739-2024</v>
          </cell>
          <cell r="D1621">
            <v>3000000</v>
          </cell>
          <cell r="E1621">
            <v>1085271641</v>
          </cell>
          <cell r="F1621" t="str">
            <v>LISSETH MARISOL CUASTUMAL  CASTRO</v>
          </cell>
        </row>
        <row r="1622">
          <cell r="A1622">
            <v>45650</v>
          </cell>
          <cell r="B1622">
            <v>2024003749</v>
          </cell>
          <cell r="C1622" t="str">
            <v>999-2024</v>
          </cell>
          <cell r="D1622">
            <v>2500000</v>
          </cell>
          <cell r="E1622">
            <v>36757507</v>
          </cell>
          <cell r="F1622" t="str">
            <v xml:space="preserve">YADIRA ALEXANDRA CALVACHE </v>
          </cell>
        </row>
        <row r="1623">
          <cell r="A1623">
            <v>45650</v>
          </cell>
          <cell r="B1623">
            <v>2024003750</v>
          </cell>
          <cell r="C1623" t="str">
            <v>1018-2024</v>
          </cell>
          <cell r="D1623">
            <v>4825000</v>
          </cell>
          <cell r="E1623">
            <v>1122783646</v>
          </cell>
          <cell r="F1623" t="str">
            <v>PAOLA JHERALDYNE CASTILLO YELA</v>
          </cell>
        </row>
        <row r="1624">
          <cell r="A1624">
            <v>45650</v>
          </cell>
          <cell r="B1624">
            <v>2024003751</v>
          </cell>
          <cell r="C1624" t="str">
            <v>975-2024</v>
          </cell>
          <cell r="D1624">
            <v>4825000</v>
          </cell>
          <cell r="E1624">
            <v>12983807</v>
          </cell>
          <cell r="F1624" t="str">
            <v>RICARDO  ENRIQUE VEGA MERA</v>
          </cell>
        </row>
        <row r="1625">
          <cell r="A1625">
            <v>45650</v>
          </cell>
          <cell r="B1625">
            <v>2024003752</v>
          </cell>
          <cell r="C1625" t="str">
            <v>931-2024</v>
          </cell>
          <cell r="D1625">
            <v>7540000</v>
          </cell>
          <cell r="E1625">
            <v>1085329980</v>
          </cell>
          <cell r="F1625" t="str">
            <v>MARIA  CAMILA JURADO PAZ</v>
          </cell>
        </row>
        <row r="1626">
          <cell r="A1626">
            <v>45650</v>
          </cell>
          <cell r="B1626">
            <v>2024003753</v>
          </cell>
          <cell r="C1626" t="str">
            <v>900-2024</v>
          </cell>
          <cell r="D1626">
            <v>3000000</v>
          </cell>
          <cell r="E1626">
            <v>5930737</v>
          </cell>
          <cell r="F1626" t="str">
            <v>KARELIS NATALY ZHENG MONSALVE</v>
          </cell>
        </row>
        <row r="1627">
          <cell r="A1627">
            <v>45650</v>
          </cell>
          <cell r="B1627">
            <v>2024003754</v>
          </cell>
          <cell r="C1627" t="str">
            <v>1018-2024</v>
          </cell>
          <cell r="D1627">
            <v>4825000</v>
          </cell>
          <cell r="E1627">
            <v>1122783646</v>
          </cell>
          <cell r="F1627" t="str">
            <v>PAOLA JHERALDYNE CASTILLO YELA</v>
          </cell>
        </row>
        <row r="1628">
          <cell r="A1628">
            <v>45650</v>
          </cell>
          <cell r="B1628">
            <v>2024003755</v>
          </cell>
          <cell r="C1628" t="str">
            <v>864-2024</v>
          </cell>
          <cell r="D1628">
            <v>2500000</v>
          </cell>
          <cell r="E1628">
            <v>27309586</v>
          </cell>
          <cell r="F1628" t="str">
            <v>LUCENY CENIDIA DAVID  RODRIGUEZ</v>
          </cell>
        </row>
        <row r="1629">
          <cell r="A1629">
            <v>45650</v>
          </cell>
          <cell r="B1629">
            <v>2024003756</v>
          </cell>
          <cell r="C1629" t="str">
            <v>1071-2024</v>
          </cell>
          <cell r="D1629">
            <v>6000000</v>
          </cell>
          <cell r="E1629">
            <v>1085277976</v>
          </cell>
          <cell r="F1629" t="str">
            <v>ADRIANA MARIA HIDALGO ENRIQUEZ</v>
          </cell>
        </row>
        <row r="1630">
          <cell r="A1630">
            <v>45650</v>
          </cell>
          <cell r="B1630">
            <v>2024003757</v>
          </cell>
          <cell r="C1630" t="str">
            <v>867-2024</v>
          </cell>
          <cell r="D1630">
            <v>3000000</v>
          </cell>
          <cell r="E1630">
            <v>1080043348</v>
          </cell>
          <cell r="F1630" t="str">
            <v>BRIGITH VANESSA QUENGUAN CALDERON</v>
          </cell>
        </row>
        <row r="1631">
          <cell r="A1631">
            <v>45650</v>
          </cell>
          <cell r="B1631">
            <v>2024003758</v>
          </cell>
          <cell r="C1631" t="str">
            <v>832-2024</v>
          </cell>
          <cell r="D1631">
            <v>3000000</v>
          </cell>
          <cell r="E1631">
            <v>59311233</v>
          </cell>
          <cell r="F1631" t="str">
            <v>YULI XIMENA TAPIA ORDOÑEZ</v>
          </cell>
        </row>
        <row r="1632">
          <cell r="A1632">
            <v>45650</v>
          </cell>
          <cell r="B1632">
            <v>2024003759</v>
          </cell>
          <cell r="C1632" t="str">
            <v>799-2024</v>
          </cell>
          <cell r="D1632">
            <v>3000000</v>
          </cell>
          <cell r="E1632">
            <v>1085331508</v>
          </cell>
          <cell r="F1632" t="str">
            <v>NESLY YANID MUÑOZ ORTÍZ</v>
          </cell>
        </row>
        <row r="1633">
          <cell r="A1633">
            <v>45650</v>
          </cell>
          <cell r="B1633">
            <v>2024003760</v>
          </cell>
          <cell r="C1633" t="str">
            <v>680-2024</v>
          </cell>
          <cell r="D1633">
            <v>6000000</v>
          </cell>
          <cell r="E1633">
            <v>59836926</v>
          </cell>
          <cell r="F1633" t="str">
            <v>DEYANIRA  BADOS DAZA</v>
          </cell>
        </row>
        <row r="1634">
          <cell r="A1634">
            <v>45650</v>
          </cell>
          <cell r="B1634">
            <v>2024003761</v>
          </cell>
          <cell r="C1634" t="str">
            <v>796-2024</v>
          </cell>
          <cell r="D1634">
            <v>2500000</v>
          </cell>
          <cell r="E1634">
            <v>1085251468</v>
          </cell>
          <cell r="F1634" t="str">
            <v>ROSAURA CAROLINA MADROÑERO DELGADO</v>
          </cell>
        </row>
        <row r="1635">
          <cell r="A1635">
            <v>45650</v>
          </cell>
          <cell r="B1635">
            <v>2024003762</v>
          </cell>
          <cell r="C1635" t="str">
            <v>787-2024</v>
          </cell>
          <cell r="D1635">
            <v>3000000</v>
          </cell>
          <cell r="E1635">
            <v>59833702</v>
          </cell>
          <cell r="F1635" t="str">
            <v>AMANDA  LOPEZ HERNANDEZ</v>
          </cell>
        </row>
        <row r="1636">
          <cell r="A1636">
            <v>45650</v>
          </cell>
          <cell r="B1636">
            <v>2024003763</v>
          </cell>
          <cell r="C1636" t="str">
            <v>629-2024</v>
          </cell>
          <cell r="D1636">
            <v>6000000</v>
          </cell>
          <cell r="E1636">
            <v>1085292185</v>
          </cell>
          <cell r="F1636" t="str">
            <v>BRIGITT MARCELA BURBANO PUPIALES</v>
          </cell>
        </row>
        <row r="1637">
          <cell r="A1637">
            <v>45650</v>
          </cell>
          <cell r="B1637">
            <v>2024003764</v>
          </cell>
          <cell r="C1637" t="str">
            <v>781-2024</v>
          </cell>
          <cell r="D1637">
            <v>3000000</v>
          </cell>
          <cell r="E1637">
            <v>1085302942</v>
          </cell>
          <cell r="F1637" t="str">
            <v>MARIA CAMILA PAREDEZ TIMANA</v>
          </cell>
        </row>
        <row r="1638">
          <cell r="A1638">
            <v>45650</v>
          </cell>
          <cell r="B1638">
            <v>2024003765</v>
          </cell>
          <cell r="C1638" t="str">
            <v>678-2024</v>
          </cell>
          <cell r="D1638">
            <v>7540000</v>
          </cell>
          <cell r="E1638">
            <v>1085255870</v>
          </cell>
          <cell r="F1638" t="str">
            <v>ANGELA LORENA LOPEZ  VALLEJO</v>
          </cell>
        </row>
        <row r="1639">
          <cell r="A1639">
            <v>45650</v>
          </cell>
          <cell r="B1639">
            <v>2024003766</v>
          </cell>
          <cell r="C1639" t="str">
            <v>1003-2024</v>
          </cell>
          <cell r="D1639">
            <v>4750000</v>
          </cell>
          <cell r="E1639">
            <v>1085313870</v>
          </cell>
          <cell r="F1639" t="str">
            <v>CAROL SILVANA PATIÑO VALENCIA</v>
          </cell>
        </row>
        <row r="1640">
          <cell r="A1640">
            <v>45650</v>
          </cell>
          <cell r="B1640">
            <v>2024003767</v>
          </cell>
          <cell r="C1640" t="str">
            <v>924-2024</v>
          </cell>
          <cell r="D1640">
            <v>2500000</v>
          </cell>
          <cell r="E1640">
            <v>1085281545</v>
          </cell>
          <cell r="F1640" t="str">
            <v>KARINA ELIZABETH MADROÐERO DELGADO</v>
          </cell>
        </row>
        <row r="1641">
          <cell r="A1641">
            <v>45650</v>
          </cell>
          <cell r="B1641">
            <v>2024003768</v>
          </cell>
          <cell r="C1641" t="str">
            <v>895-2024</v>
          </cell>
          <cell r="D1641">
            <v>2500000</v>
          </cell>
          <cell r="E1641">
            <v>27211504</v>
          </cell>
          <cell r="F1641" t="str">
            <v>YUDY LILIANA BENAVIDES OJEDA</v>
          </cell>
        </row>
        <row r="1642">
          <cell r="A1642">
            <v>45650</v>
          </cell>
          <cell r="B1642">
            <v>2024003769</v>
          </cell>
          <cell r="C1642" t="str">
            <v>1008-2024</v>
          </cell>
          <cell r="D1642">
            <v>7540000</v>
          </cell>
          <cell r="E1642">
            <v>10859376713</v>
          </cell>
          <cell r="F1642" t="str">
            <v>DIANA CAROLINA CORAL LOPEZ</v>
          </cell>
        </row>
        <row r="1643">
          <cell r="A1643">
            <v>45650</v>
          </cell>
          <cell r="B1643">
            <v>2024003770</v>
          </cell>
          <cell r="C1643" t="str">
            <v>962-2024</v>
          </cell>
          <cell r="D1643">
            <v>6000000</v>
          </cell>
          <cell r="E1643">
            <v>1131085780</v>
          </cell>
          <cell r="F1643" t="str">
            <v>LEODAN DANIEL NARVAEZ NARVAEZ</v>
          </cell>
        </row>
        <row r="1644">
          <cell r="A1644">
            <v>45650</v>
          </cell>
          <cell r="B1644">
            <v>2024003771</v>
          </cell>
          <cell r="C1644" t="str">
            <v>793-2024</v>
          </cell>
          <cell r="D1644">
            <v>3000000</v>
          </cell>
          <cell r="E1644">
            <v>1233188273</v>
          </cell>
          <cell r="F1644" t="str">
            <v>ALEJANDRA MARLENY PATIÑO VALENCIA</v>
          </cell>
        </row>
        <row r="1645">
          <cell r="A1645">
            <v>45650</v>
          </cell>
          <cell r="B1645">
            <v>2024003772</v>
          </cell>
          <cell r="C1645" t="str">
            <v>991-2024</v>
          </cell>
          <cell r="D1645">
            <v>4750000</v>
          </cell>
          <cell r="E1645">
            <v>1085325540</v>
          </cell>
          <cell r="F1645" t="str">
            <v>JOSE DAVID GOMEZ BENAVIDES</v>
          </cell>
        </row>
        <row r="1646">
          <cell r="A1646">
            <v>45650</v>
          </cell>
          <cell r="B1646">
            <v>2024003773</v>
          </cell>
          <cell r="C1646" t="str">
            <v>784-2024</v>
          </cell>
          <cell r="D1646">
            <v>3000000</v>
          </cell>
          <cell r="E1646">
            <v>1007403454</v>
          </cell>
          <cell r="F1646" t="str">
            <v>ADRIANA YADIRA MENESES CARVAJAL</v>
          </cell>
        </row>
        <row r="1647">
          <cell r="A1647">
            <v>45650</v>
          </cell>
          <cell r="B1647">
            <v>2024003774</v>
          </cell>
          <cell r="C1647" t="str">
            <v>989-2024</v>
          </cell>
          <cell r="D1647">
            <v>3000000</v>
          </cell>
          <cell r="E1647">
            <v>37083324</v>
          </cell>
          <cell r="F1647" t="str">
            <v>ANNY MAYERLINE NARVAEZ ÑAÑEZ</v>
          </cell>
        </row>
        <row r="1648">
          <cell r="A1648">
            <v>45650</v>
          </cell>
          <cell r="B1648">
            <v>2024003775</v>
          </cell>
          <cell r="C1648" t="str">
            <v>908-2024</v>
          </cell>
          <cell r="D1648">
            <v>3000000</v>
          </cell>
          <cell r="E1648">
            <v>1085252263</v>
          </cell>
          <cell r="F1648" t="str">
            <v>DEISY JOHANNA BASTIDAS JOJOA</v>
          </cell>
        </row>
        <row r="1649">
          <cell r="A1649">
            <v>45650</v>
          </cell>
          <cell r="B1649">
            <v>2024003776</v>
          </cell>
          <cell r="C1649" t="str">
            <v>1013-2024</v>
          </cell>
          <cell r="D1649">
            <v>3000000</v>
          </cell>
          <cell r="E1649">
            <v>27388522</v>
          </cell>
          <cell r="F1649" t="str">
            <v>NUVI GRACIELA CHAMORRO CORAL</v>
          </cell>
        </row>
        <row r="1650">
          <cell r="A1650">
            <v>45650</v>
          </cell>
          <cell r="B1650">
            <v>2024003777</v>
          </cell>
          <cell r="C1650" t="str">
            <v>886-2024</v>
          </cell>
          <cell r="D1650">
            <v>3000000</v>
          </cell>
          <cell r="E1650">
            <v>1004215136</v>
          </cell>
          <cell r="F1650" t="str">
            <v xml:space="preserve">JESICA GERALDINE MORALES </v>
          </cell>
        </row>
        <row r="1651">
          <cell r="A1651">
            <v>45650</v>
          </cell>
          <cell r="B1651">
            <v>2024003778</v>
          </cell>
          <cell r="C1651" t="str">
            <v>860-2024</v>
          </cell>
          <cell r="D1651">
            <v>3000000</v>
          </cell>
          <cell r="E1651">
            <v>1004299312</v>
          </cell>
          <cell r="F1651" t="str">
            <v>MARIA ALEJANDRA BOTINA DELGADO</v>
          </cell>
        </row>
        <row r="1652">
          <cell r="A1652">
            <v>45650</v>
          </cell>
          <cell r="B1652">
            <v>2024003779</v>
          </cell>
          <cell r="C1652" t="str">
            <v>821-2024</v>
          </cell>
          <cell r="D1652">
            <v>3000000</v>
          </cell>
          <cell r="E1652">
            <v>1085313463</v>
          </cell>
          <cell r="F1652" t="str">
            <v>JAZMIN DEL CARMEN NUPAN BURBANO</v>
          </cell>
        </row>
        <row r="1653">
          <cell r="A1653">
            <v>45650</v>
          </cell>
          <cell r="B1653">
            <v>2024003780</v>
          </cell>
          <cell r="C1653" t="str">
            <v>1002-2024</v>
          </cell>
          <cell r="D1653">
            <v>2500000</v>
          </cell>
          <cell r="E1653">
            <v>1085324252</v>
          </cell>
          <cell r="F1653" t="str">
            <v>ELSSY ISLANDI SOLARTE ORDOÑEZ</v>
          </cell>
        </row>
        <row r="1654">
          <cell r="A1654">
            <v>45650</v>
          </cell>
          <cell r="B1654">
            <v>2024003781</v>
          </cell>
          <cell r="C1654" t="str">
            <v>785-2024</v>
          </cell>
          <cell r="D1654">
            <v>2500000</v>
          </cell>
          <cell r="E1654">
            <v>37087268</v>
          </cell>
          <cell r="F1654" t="str">
            <v>ALEXANDRA MARIA ORTEGA ROSERO</v>
          </cell>
        </row>
        <row r="1655">
          <cell r="A1655">
            <v>45650</v>
          </cell>
          <cell r="B1655">
            <v>2024003782</v>
          </cell>
          <cell r="C1655" t="str">
            <v>705-2024</v>
          </cell>
          <cell r="D1655">
            <v>3000000</v>
          </cell>
          <cell r="E1655">
            <v>1004508436</v>
          </cell>
          <cell r="F1655" t="str">
            <v>VALERIA FERNANDA CUASQUER CANTUCA</v>
          </cell>
        </row>
        <row r="1656">
          <cell r="A1656">
            <v>45650</v>
          </cell>
          <cell r="B1656">
            <v>2024003783</v>
          </cell>
          <cell r="C1656" t="str">
            <v>1011-2024</v>
          </cell>
          <cell r="D1656">
            <v>3000000</v>
          </cell>
          <cell r="E1656">
            <v>1004598784</v>
          </cell>
          <cell r="F1656" t="str">
            <v>YEISON SMIT NUÑEZ ACOSTA</v>
          </cell>
        </row>
        <row r="1657">
          <cell r="A1657">
            <v>45650</v>
          </cell>
          <cell r="B1657">
            <v>2024003784</v>
          </cell>
          <cell r="C1657" t="str">
            <v>730-2024</v>
          </cell>
          <cell r="D1657">
            <v>3000000</v>
          </cell>
          <cell r="E1657">
            <v>1192717330</v>
          </cell>
          <cell r="F1657" t="str">
            <v>CRISTIAN FABIAN CRIOLLO RIVERA</v>
          </cell>
        </row>
        <row r="1658">
          <cell r="A1658">
            <v>45650</v>
          </cell>
          <cell r="B1658">
            <v>2024003785</v>
          </cell>
          <cell r="C1658" t="str">
            <v>930-2024</v>
          </cell>
          <cell r="D1658">
            <v>3000000</v>
          </cell>
          <cell r="E1658">
            <v>1004235479</v>
          </cell>
          <cell r="F1658" t="str">
            <v>TANIA KARINA CUERO CASANOVA</v>
          </cell>
        </row>
        <row r="1659">
          <cell r="A1659">
            <v>45650</v>
          </cell>
          <cell r="B1659">
            <v>2024003786</v>
          </cell>
          <cell r="C1659" t="str">
            <v>854-2024</v>
          </cell>
          <cell r="D1659">
            <v>3000000</v>
          </cell>
          <cell r="E1659">
            <v>59310433</v>
          </cell>
          <cell r="F1659" t="str">
            <v>ROSERO MIRANDA LEIDY LIZETH</v>
          </cell>
        </row>
        <row r="1660">
          <cell r="A1660">
            <v>45652</v>
          </cell>
          <cell r="B1660">
            <v>2024003787</v>
          </cell>
          <cell r="C1660" t="str">
            <v>851-2024</v>
          </cell>
          <cell r="D1660">
            <v>6000000</v>
          </cell>
          <cell r="E1660">
            <v>1085313872</v>
          </cell>
          <cell r="F1660" t="str">
            <v>NIKOLE CAROLAY IBAÑEZ ALVAREZ</v>
          </cell>
        </row>
        <row r="1661">
          <cell r="A1661">
            <v>45652</v>
          </cell>
          <cell r="B1661">
            <v>2024003788</v>
          </cell>
          <cell r="C1661" t="str">
            <v>737-2024</v>
          </cell>
          <cell r="D1661">
            <v>4825000</v>
          </cell>
          <cell r="E1661">
            <v>1085321943</v>
          </cell>
          <cell r="F1661" t="str">
            <v>MARIA FERNANDA INGUILAN CARRERA</v>
          </cell>
        </row>
        <row r="1662">
          <cell r="A1662">
            <v>45652</v>
          </cell>
          <cell r="B1662">
            <v>2024003789</v>
          </cell>
          <cell r="C1662" t="str">
            <v>686-2024</v>
          </cell>
          <cell r="D1662">
            <v>4750000</v>
          </cell>
          <cell r="E1662">
            <v>59312865</v>
          </cell>
          <cell r="F1662" t="str">
            <v>DIANA CAROLINA CORTES TAPIA</v>
          </cell>
        </row>
        <row r="1663">
          <cell r="A1663">
            <v>45652</v>
          </cell>
          <cell r="B1663">
            <v>2024003790</v>
          </cell>
          <cell r="C1663" t="str">
            <v>651-2024</v>
          </cell>
          <cell r="D1663">
            <v>7540000</v>
          </cell>
          <cell r="E1663">
            <v>37087120</v>
          </cell>
          <cell r="F1663" t="str">
            <v>JOHANA CAROLINA CAICEDO GOYES</v>
          </cell>
        </row>
        <row r="1664">
          <cell r="A1664">
            <v>45652</v>
          </cell>
          <cell r="B1664">
            <v>2024003791</v>
          </cell>
          <cell r="C1664" t="str">
            <v>770-2024</v>
          </cell>
          <cell r="D1664">
            <v>3000000</v>
          </cell>
          <cell r="E1664">
            <v>1010113730</v>
          </cell>
          <cell r="F1664" t="str">
            <v>DIANA MILENA PAZ NANDAR</v>
          </cell>
        </row>
        <row r="1665">
          <cell r="A1665">
            <v>45652</v>
          </cell>
          <cell r="B1665">
            <v>2024003792</v>
          </cell>
          <cell r="C1665" t="str">
            <v>762-2024</v>
          </cell>
          <cell r="D1665">
            <v>3000000</v>
          </cell>
          <cell r="E1665">
            <v>1085323101</v>
          </cell>
          <cell r="F1665" t="str">
            <v>ANGIE VIVIANA AULLON VASQUEZ</v>
          </cell>
        </row>
        <row r="1666">
          <cell r="A1666">
            <v>45652</v>
          </cell>
          <cell r="B1666">
            <v>2024003793</v>
          </cell>
          <cell r="C1666" t="str">
            <v>760-2024</v>
          </cell>
          <cell r="D1666">
            <v>6000000</v>
          </cell>
          <cell r="E1666">
            <v>1085286476</v>
          </cell>
          <cell r="F1666" t="str">
            <v>ELIANA STEPHANIE CAICEDO ALVAREZ</v>
          </cell>
        </row>
        <row r="1667">
          <cell r="A1667">
            <v>45652</v>
          </cell>
          <cell r="B1667">
            <v>2024003794</v>
          </cell>
          <cell r="C1667" t="str">
            <v>757-2024</v>
          </cell>
          <cell r="D1667">
            <v>6000000</v>
          </cell>
          <cell r="E1667">
            <v>27109314</v>
          </cell>
          <cell r="F1667" t="str">
            <v>GABRIELA ALEJANDRA GUERRERO BRAVO</v>
          </cell>
        </row>
        <row r="1668">
          <cell r="A1668">
            <v>45652</v>
          </cell>
          <cell r="B1668">
            <v>2024003795</v>
          </cell>
          <cell r="C1668" t="str">
            <v>723-2024</v>
          </cell>
          <cell r="D1668">
            <v>4750000</v>
          </cell>
          <cell r="E1668">
            <v>59816986</v>
          </cell>
          <cell r="F1668" t="str">
            <v>INÉS MERCEDES LÓPEZ TORRES</v>
          </cell>
        </row>
        <row r="1669">
          <cell r="A1669">
            <v>45652</v>
          </cell>
          <cell r="B1669">
            <v>2024003796</v>
          </cell>
          <cell r="C1669" t="str">
            <v>719-2024</v>
          </cell>
          <cell r="D1669">
            <v>3000000</v>
          </cell>
          <cell r="E1669">
            <v>1088799034</v>
          </cell>
          <cell r="F1669" t="str">
            <v>GREACE  ALEJANDRA CALPA CAICEDO</v>
          </cell>
        </row>
        <row r="1670">
          <cell r="A1670">
            <v>45652</v>
          </cell>
          <cell r="B1670">
            <v>2024003797</v>
          </cell>
          <cell r="C1670" t="str">
            <v>710-2024</v>
          </cell>
          <cell r="D1670">
            <v>3000000</v>
          </cell>
          <cell r="E1670">
            <v>1085347540</v>
          </cell>
          <cell r="F1670" t="str">
            <v>DANIELA ALEXANDRA PABON YARPAS</v>
          </cell>
        </row>
        <row r="1671">
          <cell r="A1671">
            <v>45652</v>
          </cell>
          <cell r="B1671">
            <v>2024003798</v>
          </cell>
          <cell r="C1671" t="str">
            <v>712-2024</v>
          </cell>
          <cell r="D1671">
            <v>6000000</v>
          </cell>
          <cell r="E1671">
            <v>36951002</v>
          </cell>
          <cell r="F1671" t="str">
            <v>NANCY VISITACIÓN CHAMORRO GUAICHAR</v>
          </cell>
        </row>
        <row r="1672">
          <cell r="A1672">
            <v>45652</v>
          </cell>
          <cell r="B1672">
            <v>2024003799</v>
          </cell>
          <cell r="C1672" t="str">
            <v>703-2024</v>
          </cell>
          <cell r="D1672">
            <v>3000000</v>
          </cell>
          <cell r="E1672">
            <v>1085295383</v>
          </cell>
          <cell r="F1672" t="str">
            <v>ELOISA YERALDINE FREYRE GOMEZ</v>
          </cell>
        </row>
        <row r="1673">
          <cell r="A1673">
            <v>45652</v>
          </cell>
          <cell r="B1673">
            <v>2024003800</v>
          </cell>
          <cell r="C1673" t="str">
            <v>692-2024</v>
          </cell>
          <cell r="D1673">
            <v>3000000</v>
          </cell>
          <cell r="E1673">
            <v>1085316191</v>
          </cell>
          <cell r="F1673" t="str">
            <v>MARIA HOMAIRA GUEVARA CORAL</v>
          </cell>
        </row>
        <row r="1674">
          <cell r="A1674">
            <v>45652</v>
          </cell>
          <cell r="B1674">
            <v>2024003801</v>
          </cell>
          <cell r="C1674" t="str">
            <v>663-2024</v>
          </cell>
          <cell r="D1674">
            <v>7540000</v>
          </cell>
          <cell r="E1674">
            <v>1085336362</v>
          </cell>
          <cell r="F1674" t="str">
            <v>SOFIA ESMERALDA MEJIA ORTÍZ</v>
          </cell>
        </row>
        <row r="1675">
          <cell r="A1675">
            <v>45652</v>
          </cell>
          <cell r="B1675">
            <v>2024003803</v>
          </cell>
          <cell r="C1675" t="str">
            <v>659-2024</v>
          </cell>
          <cell r="D1675">
            <v>4825000</v>
          </cell>
          <cell r="E1675">
            <v>1085338534</v>
          </cell>
          <cell r="F1675" t="str">
            <v>ANA VICTORIA ORTEGA GOMEZ</v>
          </cell>
        </row>
        <row r="1676">
          <cell r="A1676">
            <v>45652</v>
          </cell>
          <cell r="B1676">
            <v>2024003805</v>
          </cell>
          <cell r="C1676" t="str">
            <v>655-2024</v>
          </cell>
          <cell r="D1676">
            <v>7540000</v>
          </cell>
          <cell r="E1676">
            <v>1151934571</v>
          </cell>
          <cell r="F1676" t="str">
            <v>ANGELA MARCELA OBANDO BASTIDAS</v>
          </cell>
        </row>
        <row r="1677">
          <cell r="A1677">
            <v>45652</v>
          </cell>
          <cell r="B1677">
            <v>2024003806</v>
          </cell>
          <cell r="C1677" t="str">
            <v>718-2024</v>
          </cell>
          <cell r="D1677">
            <v>3000000</v>
          </cell>
          <cell r="E1677">
            <v>27087122</v>
          </cell>
          <cell r="F1677" t="str">
            <v>MARITZA ROCIO OLIVA CUZ</v>
          </cell>
        </row>
        <row r="1678">
          <cell r="A1678">
            <v>45652</v>
          </cell>
          <cell r="B1678">
            <v>2024003807</v>
          </cell>
          <cell r="C1678" t="str">
            <v>831-2024</v>
          </cell>
          <cell r="D1678">
            <v>3000000</v>
          </cell>
          <cell r="E1678">
            <v>1085286725</v>
          </cell>
          <cell r="F1678" t="str">
            <v>DIANA CAROLINA ORTEGA CAICEDO</v>
          </cell>
        </row>
        <row r="1679">
          <cell r="A1679">
            <v>45652</v>
          </cell>
          <cell r="B1679">
            <v>2024003808</v>
          </cell>
          <cell r="C1679" t="str">
            <v>690-2024</v>
          </cell>
          <cell r="D1679">
            <v>6000000</v>
          </cell>
          <cell r="E1679">
            <v>27097289</v>
          </cell>
          <cell r="F1679" t="str">
            <v>BLANCA MELVA GAVIRIA BRAVO</v>
          </cell>
        </row>
        <row r="1680">
          <cell r="A1680">
            <v>45652</v>
          </cell>
          <cell r="B1680">
            <v>2024003809</v>
          </cell>
          <cell r="C1680" t="str">
            <v>711-2024</v>
          </cell>
          <cell r="D1680">
            <v>3000000</v>
          </cell>
          <cell r="E1680">
            <v>1007356378</v>
          </cell>
          <cell r="F1680" t="str">
            <v>NAYIBI JANED MELO DELGADO</v>
          </cell>
        </row>
        <row r="1681">
          <cell r="A1681">
            <v>45652</v>
          </cell>
          <cell r="B1681">
            <v>2024003810</v>
          </cell>
          <cell r="C1681" t="str">
            <v>810-2024</v>
          </cell>
          <cell r="D1681">
            <v>3000000</v>
          </cell>
          <cell r="E1681">
            <v>1004410201</v>
          </cell>
          <cell r="F1681" t="str">
            <v>JAIRO  ALBERTO MAIGUAL MIRAMAG</v>
          </cell>
        </row>
        <row r="1682">
          <cell r="A1682">
            <v>45652</v>
          </cell>
          <cell r="B1682">
            <v>2024003811</v>
          </cell>
          <cell r="C1682" t="str">
            <v>883-2024</v>
          </cell>
          <cell r="D1682">
            <v>2500000</v>
          </cell>
          <cell r="E1682">
            <v>13072447</v>
          </cell>
          <cell r="F1682" t="str">
            <v>DANNY ALEXANDER ORTIZ MUÑOZ</v>
          </cell>
        </row>
        <row r="1683">
          <cell r="A1683">
            <v>45652</v>
          </cell>
          <cell r="B1683">
            <v>2024003812</v>
          </cell>
          <cell r="C1683" t="str">
            <v>899-2024</v>
          </cell>
          <cell r="D1683">
            <v>2500000</v>
          </cell>
          <cell r="E1683">
            <v>1081052090</v>
          </cell>
          <cell r="F1683" t="str">
            <v>DIANA CAROLINA TISOY CHASOY</v>
          </cell>
        </row>
        <row r="1684">
          <cell r="A1684">
            <v>45652</v>
          </cell>
          <cell r="B1684">
            <v>2024003813</v>
          </cell>
          <cell r="C1684" t="str">
            <v>723-2024</v>
          </cell>
          <cell r="D1684">
            <v>4750000</v>
          </cell>
          <cell r="E1684">
            <v>59816986</v>
          </cell>
          <cell r="F1684" t="str">
            <v>INÉS MERCEDES LÓPEZ TORRES</v>
          </cell>
        </row>
        <row r="1685">
          <cell r="A1685">
            <v>45652</v>
          </cell>
          <cell r="B1685">
            <v>2024003814</v>
          </cell>
          <cell r="C1685" t="str">
            <v>1035-2024</v>
          </cell>
          <cell r="D1685">
            <v>2499900</v>
          </cell>
          <cell r="E1685">
            <v>12990231</v>
          </cell>
          <cell r="F1685" t="str">
            <v>EDUARDO  MAURICIO NARVAEZ GUERRA</v>
          </cell>
        </row>
        <row r="1686">
          <cell r="A1686">
            <v>45652</v>
          </cell>
          <cell r="B1686">
            <v>2024003815</v>
          </cell>
          <cell r="C1686" t="str">
            <v>808-2024</v>
          </cell>
          <cell r="D1686">
            <v>4825000</v>
          </cell>
          <cell r="E1686">
            <v>1085311814</v>
          </cell>
          <cell r="F1686" t="str">
            <v>LAURA CAROLINA DELGADO BASTIDAS</v>
          </cell>
        </row>
        <row r="1687">
          <cell r="A1687">
            <v>45652</v>
          </cell>
          <cell r="B1687">
            <v>2024003816</v>
          </cell>
          <cell r="C1687" t="str">
            <v>955-2024</v>
          </cell>
          <cell r="D1687">
            <v>2500000</v>
          </cell>
          <cell r="E1687">
            <v>30736949</v>
          </cell>
          <cell r="F1687" t="str">
            <v>LIGIA DEL CARMEN ERAZO GUERRERO</v>
          </cell>
        </row>
        <row r="1688">
          <cell r="A1688">
            <v>45652</v>
          </cell>
          <cell r="B1688">
            <v>2024003817</v>
          </cell>
          <cell r="C1688" t="str">
            <v>750-2024</v>
          </cell>
          <cell r="D1688">
            <v>3000000</v>
          </cell>
          <cell r="E1688">
            <v>1085326198</v>
          </cell>
          <cell r="F1688" t="str">
            <v>LEIDI YURANI RAMOS CORDOBA</v>
          </cell>
        </row>
        <row r="1689">
          <cell r="A1689">
            <v>45652</v>
          </cell>
          <cell r="B1689">
            <v>2024003818</v>
          </cell>
          <cell r="C1689" t="str">
            <v>912-2024</v>
          </cell>
          <cell r="D1689">
            <v>7540000</v>
          </cell>
          <cell r="E1689">
            <v>1233192708</v>
          </cell>
          <cell r="F1689" t="str">
            <v>DIANA SOFIA PANTOJA RUANO</v>
          </cell>
        </row>
        <row r="1690">
          <cell r="A1690">
            <v>45652</v>
          </cell>
          <cell r="B1690">
            <v>2024003819</v>
          </cell>
          <cell r="C1690" t="str">
            <v>986-2024</v>
          </cell>
          <cell r="D1690">
            <v>4750000</v>
          </cell>
          <cell r="E1690">
            <v>1085264667</v>
          </cell>
          <cell r="F1690" t="str">
            <v>DANNY ALEXANDER SANCHEZ ESTRADA</v>
          </cell>
        </row>
        <row r="1691">
          <cell r="A1691">
            <v>45652</v>
          </cell>
          <cell r="B1691">
            <v>2024003820</v>
          </cell>
          <cell r="C1691" t="str">
            <v>932-2024</v>
          </cell>
          <cell r="D1691">
            <v>4825000</v>
          </cell>
          <cell r="E1691">
            <v>1081595485</v>
          </cell>
          <cell r="F1691" t="str">
            <v>ALEXA DAYANA CERON BRAVO</v>
          </cell>
        </row>
        <row r="1692">
          <cell r="A1692">
            <v>45652</v>
          </cell>
          <cell r="B1692">
            <v>2024003821</v>
          </cell>
          <cell r="C1692" t="str">
            <v>660-2024</v>
          </cell>
          <cell r="D1692">
            <v>4825000</v>
          </cell>
          <cell r="E1692">
            <v>1088730712</v>
          </cell>
          <cell r="F1692" t="str">
            <v>ANGELA PATRICIA BASTIDAS  MELO</v>
          </cell>
        </row>
        <row r="1693">
          <cell r="A1693">
            <v>45652</v>
          </cell>
          <cell r="B1693">
            <v>2024003822</v>
          </cell>
          <cell r="C1693" t="str">
            <v>830-2024</v>
          </cell>
          <cell r="D1693">
            <v>3000000</v>
          </cell>
          <cell r="E1693">
            <v>98391531</v>
          </cell>
          <cell r="F1693" t="str">
            <v>HECTOR GERMAN OJEDA CERON</v>
          </cell>
        </row>
        <row r="1694">
          <cell r="A1694">
            <v>45652</v>
          </cell>
          <cell r="B1694">
            <v>2024003823</v>
          </cell>
          <cell r="C1694" t="str">
            <v>839-2024</v>
          </cell>
          <cell r="D1694">
            <v>3000000</v>
          </cell>
          <cell r="E1694">
            <v>1085309422</v>
          </cell>
          <cell r="F1694" t="str">
            <v>LIZETH YOVANA SUAREZ PORTILLA</v>
          </cell>
        </row>
        <row r="1695">
          <cell r="A1695">
            <v>45652</v>
          </cell>
          <cell r="B1695">
            <v>2024003824</v>
          </cell>
          <cell r="C1695" t="str">
            <v>816-2024</v>
          </cell>
          <cell r="D1695">
            <v>3000000</v>
          </cell>
          <cell r="E1695">
            <v>1085272140</v>
          </cell>
          <cell r="F1695" t="str">
            <v>LADY MABEL CABRERA CORAL</v>
          </cell>
        </row>
        <row r="1696">
          <cell r="A1696">
            <v>45652</v>
          </cell>
          <cell r="B1696">
            <v>2024003826</v>
          </cell>
          <cell r="C1696" t="str">
            <v>844-2024</v>
          </cell>
          <cell r="D1696">
            <v>2500000</v>
          </cell>
          <cell r="E1696">
            <v>1085320930</v>
          </cell>
          <cell r="F1696" t="str">
            <v>LINA YEZMIN DE LA CRUZ CUSIS</v>
          </cell>
        </row>
        <row r="1697">
          <cell r="A1697">
            <v>45652</v>
          </cell>
          <cell r="B1697">
            <v>2024003827</v>
          </cell>
          <cell r="C1697" t="str">
            <v>722-2024</v>
          </cell>
          <cell r="D1697">
            <v>4825000</v>
          </cell>
          <cell r="E1697">
            <v>37082349</v>
          </cell>
          <cell r="F1697" t="str">
            <v>PAULA XIMENA CHÁVES PASMIÑO</v>
          </cell>
        </row>
        <row r="1698">
          <cell r="A1698">
            <v>45652</v>
          </cell>
          <cell r="B1698">
            <v>2024003828</v>
          </cell>
          <cell r="C1698" t="str">
            <v>668-2024</v>
          </cell>
          <cell r="D1698">
            <v>6283000</v>
          </cell>
          <cell r="E1698">
            <v>1193279435</v>
          </cell>
          <cell r="F1698" t="str">
            <v>ANGELA SOFIA ORDOÑEZ BENAVIDES</v>
          </cell>
        </row>
        <row r="1699">
          <cell r="A1699">
            <v>45652</v>
          </cell>
          <cell r="B1699">
            <v>2024003829</v>
          </cell>
          <cell r="C1699" t="str">
            <v>688-2024</v>
          </cell>
          <cell r="D1699">
            <v>6000000</v>
          </cell>
          <cell r="E1699">
            <v>37013610</v>
          </cell>
          <cell r="F1699" t="str">
            <v>MARIA  IDER CASANOVA BURBANO</v>
          </cell>
        </row>
        <row r="1700">
          <cell r="A1700">
            <v>45652</v>
          </cell>
          <cell r="B1700">
            <v>2024003830</v>
          </cell>
          <cell r="C1700" t="str">
            <v>1056-2024</v>
          </cell>
          <cell r="D1700">
            <v>500000</v>
          </cell>
          <cell r="E1700">
            <v>1080690337</v>
          </cell>
          <cell r="F1700" t="str">
            <v>LUZ  ANGELICA CHILES CABRERA</v>
          </cell>
        </row>
        <row r="1701">
          <cell r="A1701">
            <v>45652</v>
          </cell>
          <cell r="B1701">
            <v>2024003831</v>
          </cell>
          <cell r="C1701" t="str">
            <v>1056-2024</v>
          </cell>
          <cell r="D1701">
            <v>3000000</v>
          </cell>
          <cell r="E1701">
            <v>1080690337</v>
          </cell>
          <cell r="F1701" t="str">
            <v>LUZ  ANGELICA CHILES CABRERA</v>
          </cell>
        </row>
        <row r="1702">
          <cell r="A1702">
            <v>45652</v>
          </cell>
          <cell r="B1702">
            <v>2024003833</v>
          </cell>
          <cell r="C1702" t="str">
            <v>797-2024</v>
          </cell>
          <cell r="D1702">
            <v>3000000</v>
          </cell>
          <cell r="E1702">
            <v>1085250095</v>
          </cell>
          <cell r="F1702" t="str">
            <v>LIDIA JIMENA RODRIGUEZ LOZA</v>
          </cell>
        </row>
        <row r="1703">
          <cell r="A1703">
            <v>45652</v>
          </cell>
          <cell r="B1703">
            <v>2024003834</v>
          </cell>
          <cell r="C1703" t="str">
            <v>887-2024</v>
          </cell>
          <cell r="D1703">
            <v>7540000</v>
          </cell>
          <cell r="E1703">
            <v>87940284</v>
          </cell>
          <cell r="F1703" t="str">
            <v>JOHNNY ALCIBIADES SOTOMAYOR PRECIADO</v>
          </cell>
        </row>
        <row r="1704">
          <cell r="A1704">
            <v>45652</v>
          </cell>
          <cell r="B1704">
            <v>2024003836</v>
          </cell>
          <cell r="C1704" t="str">
            <v>791-2024</v>
          </cell>
          <cell r="D1704">
            <v>3000000</v>
          </cell>
          <cell r="E1704">
            <v>1193224810</v>
          </cell>
          <cell r="F1704" t="str">
            <v>EVELYN  FERNANDA ACOSTA CHICAIZA</v>
          </cell>
        </row>
        <row r="1705">
          <cell r="A1705">
            <v>45652</v>
          </cell>
          <cell r="B1705">
            <v>2024003837</v>
          </cell>
          <cell r="C1705" t="str">
            <v>1048-2024</v>
          </cell>
          <cell r="D1705">
            <v>3000000</v>
          </cell>
          <cell r="E1705">
            <v>59313539</v>
          </cell>
          <cell r="F1705" t="str">
            <v xml:space="preserve">DIANA FERNANDA ORDOÑEZ </v>
          </cell>
        </row>
        <row r="1706">
          <cell r="A1706">
            <v>45652</v>
          </cell>
          <cell r="B1706">
            <v>2024003838</v>
          </cell>
          <cell r="C1706" t="str">
            <v>1044-2024</v>
          </cell>
          <cell r="D1706">
            <v>2500000</v>
          </cell>
          <cell r="E1706">
            <v>1085254615</v>
          </cell>
          <cell r="F1706" t="str">
            <v>ANGELA JENNIFER VALLEJO PALACIOS</v>
          </cell>
        </row>
        <row r="1707">
          <cell r="A1707">
            <v>45652</v>
          </cell>
          <cell r="B1707">
            <v>2024003839</v>
          </cell>
          <cell r="C1707" t="str">
            <v>825-2024</v>
          </cell>
          <cell r="D1707">
            <v>6000000</v>
          </cell>
          <cell r="E1707">
            <v>27097745</v>
          </cell>
          <cell r="F1707" t="str">
            <v>VIVEROS BRAVO NORA</v>
          </cell>
        </row>
        <row r="1708">
          <cell r="A1708">
            <v>45652</v>
          </cell>
          <cell r="B1708">
            <v>2024003840</v>
          </cell>
          <cell r="C1708" t="str">
            <v>859-2024</v>
          </cell>
          <cell r="D1708">
            <v>3000000</v>
          </cell>
          <cell r="E1708">
            <v>1085338575</v>
          </cell>
          <cell r="F1708" t="str">
            <v>RAFAEL ARLEY ROSERO PINZA</v>
          </cell>
        </row>
        <row r="1709">
          <cell r="A1709">
            <v>45652</v>
          </cell>
          <cell r="B1709">
            <v>2024003841</v>
          </cell>
          <cell r="C1709" t="str">
            <v>858-2024</v>
          </cell>
          <cell r="D1709">
            <v>4750000</v>
          </cell>
          <cell r="E1709">
            <v>36950073</v>
          </cell>
          <cell r="F1709" t="str">
            <v>INGRID RAQUEL MONCAYO  NARVAEZ</v>
          </cell>
        </row>
        <row r="1710">
          <cell r="A1710">
            <v>45652</v>
          </cell>
          <cell r="B1710">
            <v>2024003843</v>
          </cell>
          <cell r="C1710" t="str">
            <v>736-2024</v>
          </cell>
          <cell r="D1710">
            <v>3000000</v>
          </cell>
          <cell r="E1710">
            <v>1085255972</v>
          </cell>
          <cell r="F1710" t="str">
            <v>ANDREA PAOLA MONTES PANTOJA</v>
          </cell>
        </row>
        <row r="1711">
          <cell r="A1711">
            <v>45652</v>
          </cell>
          <cell r="B1711">
            <v>2024003844</v>
          </cell>
          <cell r="C1711" t="str">
            <v>907-2024</v>
          </cell>
          <cell r="D1711">
            <v>4825000</v>
          </cell>
          <cell r="E1711">
            <v>1085265622</v>
          </cell>
          <cell r="F1711" t="str">
            <v>VIVIANA MERCEDES PIZANO PORTILLA</v>
          </cell>
        </row>
        <row r="1712">
          <cell r="A1712">
            <v>45652</v>
          </cell>
          <cell r="B1712">
            <v>2024003845</v>
          </cell>
          <cell r="C1712" t="str">
            <v>751-2024</v>
          </cell>
          <cell r="D1712">
            <v>3000000</v>
          </cell>
          <cell r="E1712">
            <v>87070661</v>
          </cell>
          <cell r="F1712" t="str">
            <v>EDER SHINEIDER TUTISTAR TUTISTAR</v>
          </cell>
        </row>
        <row r="1713">
          <cell r="A1713">
            <v>45652</v>
          </cell>
          <cell r="B1713">
            <v>2024003846</v>
          </cell>
          <cell r="C1713" t="str">
            <v>802-2024</v>
          </cell>
          <cell r="D1713">
            <v>3000000</v>
          </cell>
          <cell r="E1713">
            <v>1233191675</v>
          </cell>
          <cell r="F1713" t="str">
            <v>NATHALY STEPHANIE MARTINEZ MARTINEZ</v>
          </cell>
        </row>
        <row r="1714">
          <cell r="A1714">
            <v>45652</v>
          </cell>
          <cell r="B1714">
            <v>2024003848</v>
          </cell>
          <cell r="C1714" t="str">
            <v>804-2024</v>
          </cell>
          <cell r="D1714">
            <v>3000000</v>
          </cell>
          <cell r="E1714">
            <v>1081053820</v>
          </cell>
          <cell r="F1714" t="str">
            <v>ANDREA  CATALINA CUASTUMAL ESCOBAR</v>
          </cell>
        </row>
        <row r="1715">
          <cell r="A1715">
            <v>45652</v>
          </cell>
          <cell r="B1715">
            <v>2024003849</v>
          </cell>
          <cell r="C1715" t="str">
            <v>980-2024</v>
          </cell>
          <cell r="D1715">
            <v>4825000</v>
          </cell>
          <cell r="E1715">
            <v>59177204</v>
          </cell>
          <cell r="F1715" t="str">
            <v>NAYIBI ROCIO MONCADA JATIVA</v>
          </cell>
        </row>
        <row r="1716">
          <cell r="A1716">
            <v>45652</v>
          </cell>
          <cell r="B1716">
            <v>2024003850</v>
          </cell>
          <cell r="C1716" t="str">
            <v>755-2024</v>
          </cell>
          <cell r="D1716">
            <v>2500000</v>
          </cell>
          <cell r="E1716">
            <v>12974849</v>
          </cell>
          <cell r="F1716" t="str">
            <v>PABLO ERNESTO RIOBAMBA IPIALES</v>
          </cell>
        </row>
        <row r="1717">
          <cell r="A1717">
            <v>45652</v>
          </cell>
          <cell r="B1717">
            <v>2024003851</v>
          </cell>
          <cell r="C1717" t="str">
            <v>642-2024</v>
          </cell>
          <cell r="D1717">
            <v>4750000</v>
          </cell>
          <cell r="E1717">
            <v>1085263018</v>
          </cell>
          <cell r="F1717" t="str">
            <v>LUIS ALONSO GUEVARA DE LOS RIOS</v>
          </cell>
        </row>
        <row r="1718">
          <cell r="A1718">
            <v>45652</v>
          </cell>
          <cell r="B1718">
            <v>2024003852</v>
          </cell>
          <cell r="C1718" t="str">
            <v>693-2024</v>
          </cell>
          <cell r="D1718">
            <v>3000000</v>
          </cell>
          <cell r="E1718">
            <v>59828916</v>
          </cell>
          <cell r="F1718" t="str">
            <v xml:space="preserve">ROCIO DEL PILAR RIVERA </v>
          </cell>
        </row>
        <row r="1719">
          <cell r="A1719">
            <v>45652</v>
          </cell>
          <cell r="B1719">
            <v>2024003854</v>
          </cell>
          <cell r="C1719" t="str">
            <v>893-2024</v>
          </cell>
          <cell r="D1719">
            <v>2500000</v>
          </cell>
          <cell r="E1719">
            <v>30737741</v>
          </cell>
          <cell r="F1719" t="str">
            <v>CLEOTILDE FLOR ALBA PIANDOY CUSIS</v>
          </cell>
        </row>
        <row r="1720">
          <cell r="A1720">
            <v>45652</v>
          </cell>
          <cell r="B1720">
            <v>2024003855</v>
          </cell>
          <cell r="C1720" t="str">
            <v>636-2024</v>
          </cell>
          <cell r="D1720">
            <v>4750000</v>
          </cell>
          <cell r="E1720">
            <v>1085318684</v>
          </cell>
          <cell r="F1720" t="str">
            <v>JENIFER  AREVALO CRIOLLO</v>
          </cell>
        </row>
        <row r="1721">
          <cell r="A1721">
            <v>45652</v>
          </cell>
          <cell r="B1721">
            <v>2024003856</v>
          </cell>
          <cell r="C1721" t="str">
            <v>958-2024</v>
          </cell>
          <cell r="D1721">
            <v>3000000</v>
          </cell>
          <cell r="E1721">
            <v>1081272318</v>
          </cell>
          <cell r="F1721" t="str">
            <v>JONATHAN DAVID NARVAEZ MUYUY</v>
          </cell>
        </row>
        <row r="1722">
          <cell r="A1722">
            <v>45652</v>
          </cell>
          <cell r="B1722">
            <v>2024003857</v>
          </cell>
          <cell r="C1722" t="str">
            <v>987-2024</v>
          </cell>
          <cell r="D1722">
            <v>2500000</v>
          </cell>
          <cell r="E1722">
            <v>1085318898</v>
          </cell>
          <cell r="F1722" t="str">
            <v>TANIA MARCELA DIAZ DIAZ</v>
          </cell>
        </row>
        <row r="1723">
          <cell r="A1723">
            <v>45652</v>
          </cell>
          <cell r="B1723">
            <v>2024003858</v>
          </cell>
          <cell r="C1723" t="str">
            <v>691-2024</v>
          </cell>
          <cell r="D1723">
            <v>4750000</v>
          </cell>
          <cell r="E1723">
            <v>1085318201</v>
          </cell>
          <cell r="F1723" t="str">
            <v>JAZMIN ELIZABETH ARCE CALDERON</v>
          </cell>
        </row>
        <row r="1724">
          <cell r="A1724">
            <v>45652</v>
          </cell>
          <cell r="B1724">
            <v>2024003859</v>
          </cell>
          <cell r="C1724" t="str">
            <v>1042-2024</v>
          </cell>
          <cell r="D1724">
            <v>2691100</v>
          </cell>
          <cell r="E1724">
            <v>59830379</v>
          </cell>
          <cell r="F1724" t="str">
            <v xml:space="preserve">ORTIZ BOTINA MARIANA DE JESUS   </v>
          </cell>
        </row>
        <row r="1725">
          <cell r="A1725">
            <v>45652</v>
          </cell>
          <cell r="B1725">
            <v>2024003860</v>
          </cell>
          <cell r="C1725" t="str">
            <v>884-2024</v>
          </cell>
          <cell r="D1725">
            <v>2500000</v>
          </cell>
          <cell r="E1725">
            <v>59311646</v>
          </cell>
          <cell r="F1725" t="str">
            <v>DIANA CAROLINA MORAN CRUZ</v>
          </cell>
        </row>
        <row r="1726">
          <cell r="A1726">
            <v>45652</v>
          </cell>
          <cell r="B1726">
            <v>2024003861</v>
          </cell>
          <cell r="C1726" t="str">
            <v>691-2024</v>
          </cell>
          <cell r="D1726">
            <v>4750000</v>
          </cell>
          <cell r="E1726">
            <v>1085318201</v>
          </cell>
          <cell r="F1726" t="str">
            <v>JAZMIN ELIZABETH ARCE CALDERON</v>
          </cell>
        </row>
        <row r="1727">
          <cell r="A1727">
            <v>45652</v>
          </cell>
          <cell r="B1727">
            <v>2024003862</v>
          </cell>
          <cell r="C1727" t="str">
            <v>1051-2024</v>
          </cell>
          <cell r="D1727">
            <v>4825000</v>
          </cell>
          <cell r="E1727">
            <v>1085319572</v>
          </cell>
          <cell r="F1727" t="str">
            <v>MARIA CAMILA ENRIQUEZ GUERRERO</v>
          </cell>
        </row>
        <row r="1728">
          <cell r="A1728">
            <v>45652</v>
          </cell>
          <cell r="B1728">
            <v>2024003863</v>
          </cell>
          <cell r="C1728" t="str">
            <v>1042-2024</v>
          </cell>
          <cell r="D1728">
            <v>4750000</v>
          </cell>
          <cell r="E1728">
            <v>59830379</v>
          </cell>
          <cell r="F1728" t="str">
            <v xml:space="preserve">ORTIZ BOTINA MARIANA DE JESUS   </v>
          </cell>
        </row>
        <row r="1729">
          <cell r="A1729">
            <v>45652</v>
          </cell>
          <cell r="B1729">
            <v>2024003864</v>
          </cell>
          <cell r="C1729" t="str">
            <v>1030-2024</v>
          </cell>
          <cell r="D1729">
            <v>4825000</v>
          </cell>
          <cell r="E1729">
            <v>52048780</v>
          </cell>
          <cell r="F1729" t="str">
            <v>MONICA  LOZANO BARBOSA</v>
          </cell>
        </row>
        <row r="1730">
          <cell r="A1730">
            <v>45652</v>
          </cell>
          <cell r="B1730">
            <v>2024003865</v>
          </cell>
          <cell r="C1730" t="str">
            <v>927-2024</v>
          </cell>
          <cell r="D1730">
            <v>4825000</v>
          </cell>
          <cell r="E1730">
            <v>1004508471</v>
          </cell>
          <cell r="F1730" t="str">
            <v>ISABELA CATALINA CALDERON MERA</v>
          </cell>
        </row>
        <row r="1731">
          <cell r="A1731">
            <v>45653</v>
          </cell>
          <cell r="B1731">
            <v>2024003935</v>
          </cell>
          <cell r="C1731" t="str">
            <v>1037-2024</v>
          </cell>
          <cell r="D1731">
            <v>4750000</v>
          </cell>
          <cell r="E1731">
            <v>1085334685</v>
          </cell>
          <cell r="F1731" t="str">
            <v>YURI MABEL GUARANGUAY GUERRERO</v>
          </cell>
        </row>
        <row r="1732">
          <cell r="A1732">
            <v>45653</v>
          </cell>
          <cell r="B1732">
            <v>2024003936</v>
          </cell>
          <cell r="C1732" t="str">
            <v>1054-2024</v>
          </cell>
          <cell r="D1732">
            <v>6000000</v>
          </cell>
          <cell r="E1732">
            <v>1084228089</v>
          </cell>
          <cell r="F1732" t="str">
            <v>JINNETH PAOLA LOPEZ AGUIRRE</v>
          </cell>
        </row>
        <row r="1733">
          <cell r="A1733">
            <v>45653</v>
          </cell>
          <cell r="B1733">
            <v>2024003938</v>
          </cell>
          <cell r="C1733" t="str">
            <v>1026-2024</v>
          </cell>
          <cell r="D1733">
            <v>4825000</v>
          </cell>
          <cell r="E1733">
            <v>59835376</v>
          </cell>
          <cell r="F1733" t="str">
            <v>MONICA ALEXANDRA ORTIZ CABRERA</v>
          </cell>
        </row>
        <row r="1734">
          <cell r="A1734">
            <v>45653</v>
          </cell>
          <cell r="B1734">
            <v>2024003939</v>
          </cell>
          <cell r="C1734" t="str">
            <v>929-2024</v>
          </cell>
          <cell r="D1734">
            <v>3000000</v>
          </cell>
          <cell r="E1734">
            <v>1004216993</v>
          </cell>
          <cell r="F1734" t="str">
            <v>ANDREA  NATHALY ALAVA BOLAÑOS</v>
          </cell>
        </row>
        <row r="1735">
          <cell r="A1735">
            <v>45653</v>
          </cell>
          <cell r="B1735">
            <v>2024003942</v>
          </cell>
          <cell r="C1735" t="str">
            <v>1017-2024</v>
          </cell>
          <cell r="D1735">
            <v>19046664</v>
          </cell>
          <cell r="E1735">
            <v>900441119</v>
          </cell>
          <cell r="F1735" t="str">
            <v>ORTHOWELL SAS</v>
          </cell>
        </row>
        <row r="1736">
          <cell r="A1736">
            <v>45653</v>
          </cell>
          <cell r="B1736">
            <v>2024003943</v>
          </cell>
          <cell r="C1736" t="str">
            <v>1027-2024</v>
          </cell>
          <cell r="D1736">
            <v>31351479</v>
          </cell>
          <cell r="E1736">
            <v>12746875</v>
          </cell>
          <cell r="F1736" t="str">
            <v>ROSERO BOLAÑOS JOHN JAIRO</v>
          </cell>
        </row>
        <row r="1737">
          <cell r="A1737">
            <v>45653</v>
          </cell>
          <cell r="B1737">
            <v>2024003944</v>
          </cell>
          <cell r="C1737" t="str">
            <v>1022-2024</v>
          </cell>
          <cell r="D1737">
            <v>24548400</v>
          </cell>
          <cell r="E1737">
            <v>830004892</v>
          </cell>
          <cell r="F1737" t="str">
            <v>TECNICA ELECTRO MEDICA S.A.</v>
          </cell>
        </row>
        <row r="1738">
          <cell r="A1738">
            <v>45656</v>
          </cell>
          <cell r="B1738">
            <v>2024003959</v>
          </cell>
          <cell r="C1738" t="str">
            <v>890-2024</v>
          </cell>
          <cell r="D1738">
            <v>122800000</v>
          </cell>
          <cell r="E1738">
            <v>900633448</v>
          </cell>
          <cell r="F1738" t="str">
            <v>EXPRESO SURAMERICANA DE TURISMO SAS</v>
          </cell>
        </row>
        <row r="1739">
          <cell r="A1739">
            <v>45656</v>
          </cell>
          <cell r="B1739">
            <v>2024003960</v>
          </cell>
          <cell r="C1739" t="str">
            <v>891-2024</v>
          </cell>
          <cell r="D1739">
            <v>57000000</v>
          </cell>
          <cell r="E1739">
            <v>900633448</v>
          </cell>
          <cell r="F1739" t="str">
            <v>EXPRESO SURAMERICANA DE TURISMO SAS</v>
          </cell>
        </row>
        <row r="1740">
          <cell r="A1740">
            <v>45656</v>
          </cell>
          <cell r="B1740">
            <v>2024003961</v>
          </cell>
          <cell r="C1740" t="str">
            <v>889-2024</v>
          </cell>
          <cell r="D1740">
            <v>43950000</v>
          </cell>
          <cell r="E1740">
            <v>900633448</v>
          </cell>
          <cell r="F1740" t="str">
            <v>EXPRESO SURAMERICANA DE TURISMO SAS</v>
          </cell>
        </row>
        <row r="1741">
          <cell r="A1741">
            <v>45656</v>
          </cell>
          <cell r="B1741">
            <v>2024003962</v>
          </cell>
          <cell r="C1741" t="str">
            <v>888-2024</v>
          </cell>
          <cell r="D1741">
            <v>50900000</v>
          </cell>
          <cell r="E1741">
            <v>900633448</v>
          </cell>
          <cell r="F1741" t="str">
            <v>EXPRESO SURAMERICANA DE TURISMO SAS</v>
          </cell>
        </row>
        <row r="1742">
          <cell r="A1742">
            <v>45679</v>
          </cell>
          <cell r="B1742">
            <v>2025000029</v>
          </cell>
          <cell r="C1742" t="str">
            <v>868-2024</v>
          </cell>
          <cell r="D1742">
            <v>252000</v>
          </cell>
          <cell r="E1742">
            <v>36757221</v>
          </cell>
          <cell r="F1742" t="str">
            <v>FANNY MARIELA CORDOBA MORENO</v>
          </cell>
        </row>
        <row r="1743">
          <cell r="A1743">
            <v>45680</v>
          </cell>
          <cell r="B1743">
            <v>2025000035</v>
          </cell>
          <cell r="C1743" t="str">
            <v>871-2024</v>
          </cell>
          <cell r="D1743">
            <v>129000</v>
          </cell>
          <cell r="E1743">
            <v>37083086</v>
          </cell>
          <cell r="F1743" t="str">
            <v>KAROL IVONNE BURBANO ROSERO</v>
          </cell>
        </row>
        <row r="1744">
          <cell r="A1744">
            <v>45685</v>
          </cell>
          <cell r="B1744">
            <v>2025000037</v>
          </cell>
          <cell r="C1744" t="str">
            <v>652-2024</v>
          </cell>
          <cell r="D1744">
            <v>252000</v>
          </cell>
          <cell r="E1744">
            <v>1010010954</v>
          </cell>
          <cell r="F1744" t="str">
            <v>JULIANA VALENTINA MENDEZ ORTÍZ</v>
          </cell>
        </row>
        <row r="1745">
          <cell r="A1745">
            <v>45735</v>
          </cell>
          <cell r="B1745">
            <v>2025000317</v>
          </cell>
          <cell r="C1745" t="str">
            <v>701-2024</v>
          </cell>
          <cell r="D1745">
            <v>2000000</v>
          </cell>
          <cell r="E1745">
            <v>1085324107</v>
          </cell>
          <cell r="F1745" t="str">
            <v>CAROLINA  NASTACUAS PAI</v>
          </cell>
        </row>
        <row r="1746">
          <cell r="A1746">
            <v>45736</v>
          </cell>
          <cell r="B1746">
            <v>2025000374</v>
          </cell>
          <cell r="C1746" t="str">
            <v>959-2024</v>
          </cell>
          <cell r="D1746">
            <v>3000000</v>
          </cell>
          <cell r="E1746">
            <v>1193035720</v>
          </cell>
          <cell r="F1746" t="str">
            <v>KAREN JULIANA ERAZO JURADO</v>
          </cell>
        </row>
        <row r="1747">
          <cell r="A1747">
            <v>45736</v>
          </cell>
          <cell r="B1747">
            <v>2025000388</v>
          </cell>
          <cell r="C1747" t="str">
            <v>837-2024</v>
          </cell>
          <cell r="D1747">
            <v>5000000</v>
          </cell>
          <cell r="E1747">
            <v>1193265831</v>
          </cell>
          <cell r="F1747" t="str">
            <v>NAYIBE MARCELA LARA MATABANCHOY</v>
          </cell>
        </row>
        <row r="1748">
          <cell r="A1748">
            <v>45786</v>
          </cell>
          <cell r="B1748">
            <v>2025000649</v>
          </cell>
          <cell r="C1748" t="str">
            <v>207-2024</v>
          </cell>
          <cell r="D1748">
            <v>2600000</v>
          </cell>
          <cell r="E1748">
            <v>1004233343</v>
          </cell>
          <cell r="F1748" t="str">
            <v>KEVIN STEVEN PANTOJA CEBALLOS</v>
          </cell>
        </row>
        <row r="1749">
          <cell r="A1749">
            <v>45786</v>
          </cell>
          <cell r="B1749">
            <v>2025000651</v>
          </cell>
          <cell r="C1749" t="str">
            <v>220-2025</v>
          </cell>
          <cell r="D1749">
            <v>3000000</v>
          </cell>
          <cell r="E1749">
            <v>1086329609</v>
          </cell>
          <cell r="F1749" t="str">
            <v>LORENA DEL CARMEN  OJEDA VAZQUEZ</v>
          </cell>
        </row>
        <row r="1750">
          <cell r="A1750">
            <v>45786</v>
          </cell>
          <cell r="B1750">
            <v>2025000652</v>
          </cell>
          <cell r="C1750" t="str">
            <v>208-2025</v>
          </cell>
          <cell r="D1750">
            <v>3000000</v>
          </cell>
          <cell r="E1750">
            <v>1004234290</v>
          </cell>
          <cell r="F1750" t="str">
            <v>LAURA  SOFIA ROSERO DAVID</v>
          </cell>
        </row>
        <row r="1751">
          <cell r="A1751">
            <v>45790</v>
          </cell>
          <cell r="B1751">
            <v>2025000668</v>
          </cell>
          <cell r="C1751" t="str">
            <v>194-2025</v>
          </cell>
          <cell r="D1751">
            <v>4750000</v>
          </cell>
          <cell r="E1751">
            <v>59824313</v>
          </cell>
          <cell r="F1751" t="str">
            <v>FANY LUCELY RODRIGUEZ CRIOLLO</v>
          </cell>
        </row>
        <row r="1752">
          <cell r="A1752">
            <v>45790</v>
          </cell>
          <cell r="B1752">
            <v>2025000669</v>
          </cell>
          <cell r="C1752" t="str">
            <v>248-2025</v>
          </cell>
          <cell r="D1752">
            <v>4825000</v>
          </cell>
          <cell r="E1752">
            <v>12748383</v>
          </cell>
          <cell r="F1752" t="str">
            <v>ANDRES ERNESTO BRAVO  ALMEIDA</v>
          </cell>
        </row>
        <row r="1753">
          <cell r="A1753">
            <v>45790</v>
          </cell>
          <cell r="B1753">
            <v>2025000683</v>
          </cell>
          <cell r="C1753" t="str">
            <v>182-2025</v>
          </cell>
          <cell r="D1753">
            <v>3000000</v>
          </cell>
          <cell r="E1753">
            <v>1137624011</v>
          </cell>
          <cell r="F1753" t="str">
            <v>KAROL DAYANA TONGUINO TORO</v>
          </cell>
        </row>
        <row r="1754">
          <cell r="A1754">
            <v>45791</v>
          </cell>
          <cell r="B1754">
            <v>2025000685</v>
          </cell>
          <cell r="C1754" t="str">
            <v>243-2025</v>
          </cell>
          <cell r="D1754">
            <v>6000000</v>
          </cell>
          <cell r="E1754">
            <v>1082748420</v>
          </cell>
          <cell r="F1754" t="str">
            <v>NATHALIA  ROSERO RODRIGUEZ</v>
          </cell>
        </row>
        <row r="1755">
          <cell r="A1755">
            <v>45791</v>
          </cell>
          <cell r="B1755">
            <v>2025000686</v>
          </cell>
          <cell r="C1755" t="str">
            <v>198-2025</v>
          </cell>
          <cell r="D1755">
            <v>6000000</v>
          </cell>
          <cell r="E1755">
            <v>1085292185</v>
          </cell>
          <cell r="F1755" t="str">
            <v>BRIGITT MARCELA BURBANO PUPIALES</v>
          </cell>
        </row>
        <row r="1756">
          <cell r="A1756">
            <v>45791</v>
          </cell>
          <cell r="B1756">
            <v>2025000687</v>
          </cell>
          <cell r="C1756" t="str">
            <v>212-2025</v>
          </cell>
          <cell r="D1756">
            <v>3000000</v>
          </cell>
          <cell r="E1756">
            <v>37084285</v>
          </cell>
          <cell r="F1756" t="str">
            <v>JULIE ANDREA FREIRE MIER</v>
          </cell>
        </row>
        <row r="1757">
          <cell r="A1757">
            <v>45791</v>
          </cell>
          <cell r="B1757">
            <v>2025000688</v>
          </cell>
          <cell r="C1757" t="str">
            <v>269-2025</v>
          </cell>
          <cell r="D1757">
            <v>6000000</v>
          </cell>
          <cell r="E1757">
            <v>36757221</v>
          </cell>
          <cell r="F1757" t="str">
            <v>FANNY MARIELA CORDOBA MORENO</v>
          </cell>
        </row>
        <row r="1758">
          <cell r="A1758">
            <v>45791</v>
          </cell>
          <cell r="B1758">
            <v>2025000689</v>
          </cell>
          <cell r="C1758" t="str">
            <v>234-2025</v>
          </cell>
          <cell r="D1758">
            <v>3000000</v>
          </cell>
          <cell r="E1758">
            <v>1086223299</v>
          </cell>
          <cell r="F1758" t="str">
            <v>DOLY MAYBRI TIMANA GUACAN</v>
          </cell>
        </row>
        <row r="1759">
          <cell r="A1759">
            <v>45791</v>
          </cell>
          <cell r="B1759">
            <v>2025000690</v>
          </cell>
          <cell r="C1759" t="str">
            <v>222-2025</v>
          </cell>
          <cell r="D1759">
            <v>4750000</v>
          </cell>
          <cell r="E1759">
            <v>27087475</v>
          </cell>
          <cell r="F1759" t="str">
            <v>JANETH EMILSE DIAZ  ARCINIEGAS</v>
          </cell>
        </row>
        <row r="1760">
          <cell r="A1760">
            <v>45791</v>
          </cell>
          <cell r="B1760">
            <v>2025000691</v>
          </cell>
          <cell r="C1760" t="str">
            <v>235-2025</v>
          </cell>
          <cell r="D1760">
            <v>6000000</v>
          </cell>
          <cell r="E1760">
            <v>59820414</v>
          </cell>
          <cell r="F1760" t="str">
            <v>CARMEN PATRICIA CORDOBA ARTEAGA</v>
          </cell>
        </row>
        <row r="1761">
          <cell r="A1761">
            <v>45791</v>
          </cell>
          <cell r="B1761">
            <v>2025000692</v>
          </cell>
          <cell r="C1761" t="str">
            <v>190-2025</v>
          </cell>
          <cell r="D1761">
            <v>3000000</v>
          </cell>
          <cell r="E1761">
            <v>1010082397</v>
          </cell>
          <cell r="F1761" t="str">
            <v>JAQUELINE CAMILA GENOY VILLOTA</v>
          </cell>
        </row>
        <row r="1762">
          <cell r="A1762">
            <v>45791</v>
          </cell>
          <cell r="B1762">
            <v>2025000693</v>
          </cell>
          <cell r="C1762" t="str">
            <v>180-2025</v>
          </cell>
          <cell r="D1762">
            <v>4825000</v>
          </cell>
          <cell r="E1762">
            <v>1085265622</v>
          </cell>
          <cell r="F1762" t="str">
            <v>VIVIANA MERCEDES PIZANO PORTILLA</v>
          </cell>
        </row>
        <row r="1763">
          <cell r="A1763">
            <v>45792</v>
          </cell>
          <cell r="B1763">
            <v>2025000694</v>
          </cell>
          <cell r="C1763" t="str">
            <v>229-2025</v>
          </cell>
          <cell r="D1763">
            <v>3000000</v>
          </cell>
          <cell r="E1763">
            <v>1004232508</v>
          </cell>
          <cell r="F1763" t="str">
            <v>PABLO JOSÉ BADOS LÒPEZ</v>
          </cell>
        </row>
        <row r="1764">
          <cell r="A1764">
            <v>45792</v>
          </cell>
          <cell r="B1764">
            <v>2025000695</v>
          </cell>
          <cell r="C1764" t="str">
            <v>185-2025</v>
          </cell>
          <cell r="D1764">
            <v>4750000</v>
          </cell>
          <cell r="E1764">
            <v>59816986</v>
          </cell>
          <cell r="F1764" t="str">
            <v>INÉS MERCEDES LÓPEZ TORRES</v>
          </cell>
        </row>
        <row r="1765">
          <cell r="A1765">
            <v>45792</v>
          </cell>
          <cell r="B1765">
            <v>2025000696</v>
          </cell>
          <cell r="C1765" t="str">
            <v>216-2025</v>
          </cell>
          <cell r="D1765">
            <v>4750000</v>
          </cell>
          <cell r="E1765">
            <v>1085264667</v>
          </cell>
          <cell r="F1765" t="str">
            <v>DANNY ALEXANDER SANCHEZ ESTRADA</v>
          </cell>
        </row>
        <row r="1766">
          <cell r="A1766">
            <v>45792</v>
          </cell>
          <cell r="B1766">
            <v>2025000697</v>
          </cell>
          <cell r="C1766" t="str">
            <v>246-2025</v>
          </cell>
          <cell r="D1766">
            <v>3000000</v>
          </cell>
          <cell r="E1766">
            <v>1030606749</v>
          </cell>
          <cell r="F1766" t="str">
            <v>ANGELA EDITH GONZALEZ PIANDA</v>
          </cell>
        </row>
        <row r="1767">
          <cell r="A1767">
            <v>45792</v>
          </cell>
          <cell r="B1767">
            <v>2025000699</v>
          </cell>
          <cell r="C1767" t="str">
            <v>210-2025</v>
          </cell>
          <cell r="D1767">
            <v>3000000</v>
          </cell>
          <cell r="E1767">
            <v>59833899</v>
          </cell>
          <cell r="F1767" t="str">
            <v>ANDREA LILIANA LAGUNA  RUALES</v>
          </cell>
        </row>
        <row r="1768">
          <cell r="A1768">
            <v>45792</v>
          </cell>
          <cell r="B1768">
            <v>2025000700</v>
          </cell>
          <cell r="C1768" t="str">
            <v>192-2025</v>
          </cell>
          <cell r="D1768">
            <v>6000000</v>
          </cell>
          <cell r="E1768">
            <v>59837608</v>
          </cell>
          <cell r="F1768" t="str">
            <v>ALBA DENIS ARGOTY SANTACRUZ</v>
          </cell>
        </row>
        <row r="1769">
          <cell r="A1769">
            <v>45792</v>
          </cell>
          <cell r="B1769">
            <v>2025000701</v>
          </cell>
          <cell r="C1769" t="str">
            <v>204-2025</v>
          </cell>
          <cell r="D1769">
            <v>3000000</v>
          </cell>
          <cell r="E1769">
            <v>1086328142</v>
          </cell>
          <cell r="F1769" t="str">
            <v>ZULY MARINA HIDALGO JOJOA</v>
          </cell>
        </row>
        <row r="1770">
          <cell r="A1770">
            <v>45792</v>
          </cell>
          <cell r="B1770">
            <v>2025000702</v>
          </cell>
          <cell r="C1770" t="str">
            <v>247-2025</v>
          </cell>
          <cell r="D1770">
            <v>3000000</v>
          </cell>
          <cell r="E1770">
            <v>1085318688</v>
          </cell>
          <cell r="F1770" t="str">
            <v>DARLLY ROXANA ROSERO TIMARÁN</v>
          </cell>
        </row>
        <row r="1771">
          <cell r="A1771">
            <v>45793</v>
          </cell>
          <cell r="B1771">
            <v>2025000708</v>
          </cell>
          <cell r="C1771" t="str">
            <v>211-2025</v>
          </cell>
          <cell r="D1771">
            <v>3000000</v>
          </cell>
          <cell r="E1771">
            <v>1233188273</v>
          </cell>
          <cell r="F1771" t="str">
            <v>ALEJANDRA MARLENY PATIÑO VALENCIA</v>
          </cell>
        </row>
        <row r="1772">
          <cell r="A1772">
            <v>45793</v>
          </cell>
          <cell r="B1772">
            <v>2025000709</v>
          </cell>
          <cell r="C1772" t="str">
            <v>181-2025</v>
          </cell>
          <cell r="D1772">
            <v>4825000</v>
          </cell>
          <cell r="E1772">
            <v>27087851</v>
          </cell>
          <cell r="F1772" t="str">
            <v>ADRIANA YORLADY ARMERO BURBANO</v>
          </cell>
        </row>
        <row r="1773">
          <cell r="A1773">
            <v>45793</v>
          </cell>
          <cell r="B1773">
            <v>2025000710</v>
          </cell>
          <cell r="C1773" t="str">
            <v>244-2025</v>
          </cell>
          <cell r="D1773">
            <v>3000000</v>
          </cell>
          <cell r="E1773">
            <v>98382500</v>
          </cell>
          <cell r="F1773" t="str">
            <v>JOSE JAVIER PINTA YAQUENO</v>
          </cell>
        </row>
        <row r="1774">
          <cell r="A1774">
            <v>45793</v>
          </cell>
          <cell r="B1774">
            <v>2025000711</v>
          </cell>
          <cell r="C1774" t="str">
            <v>205-2025</v>
          </cell>
          <cell r="D1774">
            <v>4825000</v>
          </cell>
          <cell r="E1774">
            <v>1085267184</v>
          </cell>
          <cell r="F1774" t="str">
            <v>ANGELA PAOLA BOLAÐOS ARGOTI</v>
          </cell>
        </row>
        <row r="1775">
          <cell r="A1775">
            <v>45793</v>
          </cell>
          <cell r="B1775">
            <v>2025000712</v>
          </cell>
          <cell r="C1775" t="str">
            <v>258-2025</v>
          </cell>
          <cell r="D1775">
            <v>3000000</v>
          </cell>
          <cell r="E1775">
            <v>1004235479</v>
          </cell>
          <cell r="F1775" t="str">
            <v>TANIA KARINA CUERO CASANOVA</v>
          </cell>
        </row>
        <row r="1776">
          <cell r="A1776">
            <v>45793</v>
          </cell>
          <cell r="B1776">
            <v>2025000713</v>
          </cell>
          <cell r="C1776" t="str">
            <v>218-2025</v>
          </cell>
          <cell r="D1776">
            <v>3000000</v>
          </cell>
          <cell r="E1776">
            <v>1085326791</v>
          </cell>
          <cell r="F1776" t="str">
            <v>EDIER ERNEY CORDOBA ROJAS</v>
          </cell>
        </row>
        <row r="1777">
          <cell r="A1777">
            <v>45793</v>
          </cell>
          <cell r="B1777">
            <v>2025000714</v>
          </cell>
          <cell r="C1777" t="str">
            <v>254-2025</v>
          </cell>
          <cell r="D1777">
            <v>4750000</v>
          </cell>
          <cell r="E1777">
            <v>1085331141</v>
          </cell>
          <cell r="F1777" t="str">
            <v>YEIMER DANILO CAEZ MORALES</v>
          </cell>
        </row>
        <row r="1778">
          <cell r="A1778">
            <v>45793</v>
          </cell>
          <cell r="B1778">
            <v>2025000715</v>
          </cell>
          <cell r="C1778" t="str">
            <v>249-2025</v>
          </cell>
          <cell r="D1778">
            <v>2500000</v>
          </cell>
          <cell r="E1778">
            <v>59310145</v>
          </cell>
          <cell r="F1778" t="str">
            <v>EDITH ANGELICA LOPEZ VILLARREAL</v>
          </cell>
        </row>
        <row r="1779">
          <cell r="A1779">
            <v>45793</v>
          </cell>
          <cell r="B1779">
            <v>2025000716</v>
          </cell>
          <cell r="C1779" t="str">
            <v>186-2025</v>
          </cell>
          <cell r="D1779">
            <v>4750000</v>
          </cell>
          <cell r="E1779">
            <v>1193383306</v>
          </cell>
          <cell r="F1779" t="str">
            <v>MARIA  DE LOS ANGELES ACOSTA ROSERO</v>
          </cell>
        </row>
        <row r="1780">
          <cell r="A1780">
            <v>45793</v>
          </cell>
          <cell r="B1780">
            <v>2025000717</v>
          </cell>
          <cell r="C1780" t="str">
            <v>155-2025</v>
          </cell>
          <cell r="D1780">
            <v>2500000</v>
          </cell>
          <cell r="E1780">
            <v>1085320930</v>
          </cell>
          <cell r="F1780" t="str">
            <v>LINA YEZMIN DE LA CRUZ CUSIS</v>
          </cell>
        </row>
        <row r="1781">
          <cell r="A1781">
            <v>45793</v>
          </cell>
          <cell r="B1781">
            <v>2025000718</v>
          </cell>
          <cell r="C1781" t="str">
            <v>277-2025</v>
          </cell>
          <cell r="D1781">
            <v>3000000</v>
          </cell>
          <cell r="E1781">
            <v>37083324</v>
          </cell>
          <cell r="F1781" t="str">
            <v>ANNY MAYERLINE NARVAEZ ÑAÑEZ</v>
          </cell>
        </row>
        <row r="1782">
          <cell r="A1782">
            <v>45793</v>
          </cell>
          <cell r="B1782">
            <v>2025000723</v>
          </cell>
          <cell r="C1782" t="str">
            <v>250-2025</v>
          </cell>
          <cell r="D1782">
            <v>2500000</v>
          </cell>
          <cell r="E1782">
            <v>1085347173</v>
          </cell>
          <cell r="F1782" t="str">
            <v>JEISSON STEVEN BASANTE ERAZO</v>
          </cell>
        </row>
        <row r="1783">
          <cell r="A1783">
            <v>45793</v>
          </cell>
          <cell r="B1783">
            <v>2025000724</v>
          </cell>
          <cell r="C1783" t="str">
            <v>189-2025</v>
          </cell>
          <cell r="D1783">
            <v>3000000</v>
          </cell>
          <cell r="E1783">
            <v>1085288636</v>
          </cell>
          <cell r="F1783" t="str">
            <v>DIANA SOFIA AYALA DIAZ</v>
          </cell>
        </row>
        <row r="1784">
          <cell r="A1784">
            <v>45793</v>
          </cell>
          <cell r="B1784">
            <v>2025000725</v>
          </cell>
          <cell r="C1784" t="str">
            <v>188-2025</v>
          </cell>
          <cell r="D1784">
            <v>3000000</v>
          </cell>
          <cell r="E1784">
            <v>59834953</v>
          </cell>
          <cell r="F1784" t="str">
            <v>PATRICIA YOLANDA PAZ  DELGADO</v>
          </cell>
        </row>
        <row r="1785">
          <cell r="A1785">
            <v>45793</v>
          </cell>
          <cell r="B1785">
            <v>2025000726</v>
          </cell>
          <cell r="C1785" t="str">
            <v>177-2025</v>
          </cell>
          <cell r="D1785">
            <v>4750000</v>
          </cell>
          <cell r="E1785">
            <v>1085318684</v>
          </cell>
          <cell r="F1785" t="str">
            <v>JENIFER  AREVALO CRIOLLO</v>
          </cell>
        </row>
        <row r="1786">
          <cell r="A1786">
            <v>45793</v>
          </cell>
          <cell r="B1786">
            <v>2025000727</v>
          </cell>
          <cell r="C1786" t="str">
            <v>201-2025</v>
          </cell>
          <cell r="D1786">
            <v>3000000</v>
          </cell>
          <cell r="E1786">
            <v>13070330</v>
          </cell>
          <cell r="F1786" t="str">
            <v>ELBER ALFREDO CAMPAÑA IMBAQUIN</v>
          </cell>
        </row>
        <row r="1787">
          <cell r="A1787">
            <v>45793</v>
          </cell>
          <cell r="B1787">
            <v>2025000728</v>
          </cell>
          <cell r="C1787" t="str">
            <v>187-2025</v>
          </cell>
          <cell r="D1787">
            <v>4750000</v>
          </cell>
          <cell r="E1787">
            <v>59651018</v>
          </cell>
          <cell r="F1787" t="str">
            <v>DIANA MARIA ERASO ALAVA</v>
          </cell>
        </row>
        <row r="1788">
          <cell r="A1788">
            <v>45796</v>
          </cell>
          <cell r="B1788">
            <v>2025000729</v>
          </cell>
          <cell r="C1788" t="str">
            <v>209-2025</v>
          </cell>
          <cell r="D1788">
            <v>3000000</v>
          </cell>
          <cell r="E1788">
            <v>1085317833</v>
          </cell>
          <cell r="F1788" t="str">
            <v>ANGIE VIVIANA SACANAMBUY PAZ</v>
          </cell>
        </row>
        <row r="1789">
          <cell r="A1789">
            <v>45796</v>
          </cell>
          <cell r="B1789">
            <v>2025000730</v>
          </cell>
          <cell r="C1789" t="str">
            <v>276-2025</v>
          </cell>
          <cell r="D1789">
            <v>3000000</v>
          </cell>
          <cell r="E1789">
            <v>27436186</v>
          </cell>
          <cell r="F1789" t="str">
            <v>ANYELY ROCIO LOPEZ ROSERO</v>
          </cell>
        </row>
        <row r="1790">
          <cell r="A1790">
            <v>45796</v>
          </cell>
          <cell r="B1790">
            <v>2025000731</v>
          </cell>
          <cell r="C1790" t="str">
            <v>226-2025</v>
          </cell>
          <cell r="D1790">
            <v>4750000</v>
          </cell>
          <cell r="E1790">
            <v>59312865</v>
          </cell>
          <cell r="F1790" t="str">
            <v>DIANA CAROLINA CORTES TAPIA</v>
          </cell>
        </row>
        <row r="1791">
          <cell r="A1791">
            <v>45796</v>
          </cell>
          <cell r="B1791">
            <v>2025000732</v>
          </cell>
          <cell r="C1791" t="str">
            <v>214-2025</v>
          </cell>
          <cell r="D1791">
            <v>3000000</v>
          </cell>
          <cell r="E1791">
            <v>98391531</v>
          </cell>
          <cell r="F1791" t="str">
            <v>HECTOR GERMAN OJEDA CERON</v>
          </cell>
        </row>
        <row r="1792">
          <cell r="A1792">
            <v>45796</v>
          </cell>
          <cell r="B1792">
            <v>2025000733</v>
          </cell>
          <cell r="C1792" t="str">
            <v>178-2025</v>
          </cell>
          <cell r="D1792">
            <v>4750000</v>
          </cell>
          <cell r="E1792">
            <v>1085303067</v>
          </cell>
          <cell r="F1792" t="str">
            <v>CINDY ESTEFANIA GONZALES DEL CASTILLO</v>
          </cell>
        </row>
        <row r="1793">
          <cell r="A1793">
            <v>45796</v>
          </cell>
          <cell r="B1793">
            <v>2025000734</v>
          </cell>
          <cell r="C1793" t="str">
            <v>240-2025</v>
          </cell>
          <cell r="D1793">
            <v>7500000</v>
          </cell>
          <cell r="E1793">
            <v>1006946167</v>
          </cell>
          <cell r="F1793" t="str">
            <v>LIZETH MARCELA ORTÌZ MUÑOZ</v>
          </cell>
        </row>
        <row r="1794">
          <cell r="A1794">
            <v>45796</v>
          </cell>
          <cell r="B1794">
            <v>2025000735</v>
          </cell>
          <cell r="C1794" t="str">
            <v>233-2025</v>
          </cell>
          <cell r="D1794">
            <v>6000000</v>
          </cell>
          <cell r="E1794">
            <v>1085248939</v>
          </cell>
          <cell r="F1794" t="str">
            <v>CARMEN LILIANA ARMERO RUIZ</v>
          </cell>
        </row>
        <row r="1795">
          <cell r="A1795">
            <v>45796</v>
          </cell>
          <cell r="B1795">
            <v>2025000736</v>
          </cell>
          <cell r="C1795" t="str">
            <v>238-2025</v>
          </cell>
          <cell r="D1795">
            <v>3000000</v>
          </cell>
          <cell r="E1795">
            <v>30743783</v>
          </cell>
          <cell r="F1795" t="str">
            <v>JAQUELINE  MELO MOSQUERA</v>
          </cell>
        </row>
        <row r="1796">
          <cell r="A1796">
            <v>45796</v>
          </cell>
          <cell r="B1796">
            <v>2025000737</v>
          </cell>
          <cell r="C1796" t="str">
            <v>270-2025</v>
          </cell>
          <cell r="D1796">
            <v>3000000</v>
          </cell>
          <cell r="E1796">
            <v>1085286742</v>
          </cell>
          <cell r="F1796" t="str">
            <v>VANESSA KATHERINE JOJOA ARIAS</v>
          </cell>
        </row>
        <row r="1797">
          <cell r="A1797">
            <v>45796</v>
          </cell>
          <cell r="B1797">
            <v>2025000738</v>
          </cell>
          <cell r="C1797" t="str">
            <v>223-2025</v>
          </cell>
          <cell r="D1797">
            <v>3000000</v>
          </cell>
          <cell r="E1797">
            <v>1004535234</v>
          </cell>
          <cell r="F1797" t="str">
            <v>BRIGIT ESNIT GARCIA MANCHABAJOY</v>
          </cell>
        </row>
        <row r="1798">
          <cell r="A1798">
            <v>45796</v>
          </cell>
          <cell r="B1798">
            <v>2025000739</v>
          </cell>
          <cell r="C1798" t="str">
            <v>179-2025</v>
          </cell>
          <cell r="D1798">
            <v>4825000</v>
          </cell>
          <cell r="E1798">
            <v>1085324891</v>
          </cell>
          <cell r="F1798" t="str">
            <v>NICOLAS ALEJANDRO ROSERO MORILLO</v>
          </cell>
        </row>
        <row r="1799">
          <cell r="A1799">
            <v>45796</v>
          </cell>
          <cell r="B1799">
            <v>2025000740</v>
          </cell>
          <cell r="C1799" t="str">
            <v>263-2025</v>
          </cell>
          <cell r="D1799">
            <v>3000000</v>
          </cell>
          <cell r="E1799">
            <v>1004216993</v>
          </cell>
          <cell r="F1799" t="str">
            <v>ANDREA  NATHALY ALAVA BOLAÑOS</v>
          </cell>
        </row>
        <row r="1800">
          <cell r="A1800">
            <v>45796</v>
          </cell>
          <cell r="B1800">
            <v>2025000741</v>
          </cell>
          <cell r="C1800" t="str">
            <v>193-2025</v>
          </cell>
          <cell r="D1800">
            <v>4750000</v>
          </cell>
          <cell r="E1800">
            <v>1085313870</v>
          </cell>
          <cell r="F1800" t="str">
            <v>CAROL SILVANA PATIÑO VALENCIA</v>
          </cell>
        </row>
        <row r="1801">
          <cell r="A1801">
            <v>45796</v>
          </cell>
          <cell r="B1801">
            <v>2025000742</v>
          </cell>
          <cell r="C1801" t="str">
            <v>271-2025</v>
          </cell>
          <cell r="D1801">
            <v>4825000</v>
          </cell>
          <cell r="E1801">
            <v>27088141</v>
          </cell>
          <cell r="F1801" t="str">
            <v>CONSTANZA HAIDY UNIGARRO PAZ</v>
          </cell>
        </row>
        <row r="1802">
          <cell r="A1802">
            <v>45797</v>
          </cell>
          <cell r="B1802">
            <v>2025000744</v>
          </cell>
          <cell r="C1802" t="str">
            <v>261-2025</v>
          </cell>
          <cell r="D1802">
            <v>2500000</v>
          </cell>
          <cell r="E1802">
            <v>1085318898</v>
          </cell>
          <cell r="F1802" t="str">
            <v>TANIA MARCELA DIAZ DIAZ</v>
          </cell>
        </row>
        <row r="1803">
          <cell r="A1803">
            <v>45797</v>
          </cell>
          <cell r="B1803">
            <v>2025000745</v>
          </cell>
          <cell r="C1803" t="str">
            <v>302-2025</v>
          </cell>
          <cell r="D1803">
            <v>3000000</v>
          </cell>
          <cell r="E1803">
            <v>27097289</v>
          </cell>
          <cell r="F1803" t="str">
            <v>BLANCA MELVA GAVIRIA BRAVO</v>
          </cell>
        </row>
        <row r="1804">
          <cell r="A1804">
            <v>45797</v>
          </cell>
          <cell r="B1804">
            <v>2025000746</v>
          </cell>
          <cell r="C1804" t="str">
            <v>266-2025</v>
          </cell>
          <cell r="D1804">
            <v>2500000</v>
          </cell>
          <cell r="E1804">
            <v>37087268</v>
          </cell>
          <cell r="F1804" t="str">
            <v>ALEXANDRA MARIA ORTEGA ROSERO</v>
          </cell>
        </row>
        <row r="1805">
          <cell r="A1805">
            <v>45797</v>
          </cell>
          <cell r="B1805">
            <v>2025000747</v>
          </cell>
          <cell r="C1805" t="str">
            <v>228-2025</v>
          </cell>
          <cell r="D1805">
            <v>7500000</v>
          </cell>
          <cell r="E1805">
            <v>87067123</v>
          </cell>
          <cell r="F1805" t="str">
            <v>EDWIN  PANTOJA OTERO</v>
          </cell>
        </row>
        <row r="1806">
          <cell r="A1806">
            <v>45797</v>
          </cell>
          <cell r="B1806">
            <v>2025000748</v>
          </cell>
          <cell r="C1806" t="str">
            <v>221-2025</v>
          </cell>
          <cell r="D1806">
            <v>3000000</v>
          </cell>
          <cell r="E1806">
            <v>1233191675</v>
          </cell>
          <cell r="F1806" t="str">
            <v>NATHALY STEPHANIE MARTINEZ MARTINEZ</v>
          </cell>
        </row>
        <row r="1807">
          <cell r="A1807">
            <v>45797</v>
          </cell>
          <cell r="B1807">
            <v>2025000749</v>
          </cell>
          <cell r="C1807" t="str">
            <v>267-2025</v>
          </cell>
          <cell r="D1807">
            <v>3000000</v>
          </cell>
          <cell r="E1807">
            <v>27388522</v>
          </cell>
          <cell r="F1807" t="str">
            <v>NUVI GRACIELA CHAMORRO CORAL</v>
          </cell>
        </row>
        <row r="1808">
          <cell r="A1808">
            <v>45797</v>
          </cell>
          <cell r="B1808">
            <v>2025000750</v>
          </cell>
          <cell r="C1808" t="str">
            <v>278-2025</v>
          </cell>
          <cell r="D1808">
            <v>6000000</v>
          </cell>
          <cell r="E1808">
            <v>1085275879</v>
          </cell>
          <cell r="F1808" t="str">
            <v>DANIELA FERNANDA ERASO VALENCIA</v>
          </cell>
        </row>
        <row r="1809">
          <cell r="A1809">
            <v>45797</v>
          </cell>
          <cell r="B1809">
            <v>2025000751</v>
          </cell>
          <cell r="C1809" t="str">
            <v>262-2025</v>
          </cell>
          <cell r="D1809">
            <v>2500000</v>
          </cell>
          <cell r="E1809">
            <v>59821094</v>
          </cell>
          <cell r="F1809" t="str">
            <v>ADRIANA PATRICIA DUEÑAS SALAZAR</v>
          </cell>
        </row>
        <row r="1810">
          <cell r="A1810">
            <v>45797</v>
          </cell>
          <cell r="B1810">
            <v>2025000752</v>
          </cell>
          <cell r="C1810" t="str">
            <v>217-2025</v>
          </cell>
          <cell r="D1810">
            <v>4750000</v>
          </cell>
          <cell r="E1810">
            <v>27190772</v>
          </cell>
          <cell r="F1810" t="str">
            <v>MILENA ELIZABETH ORDOÐEZ ORTIZ</v>
          </cell>
        </row>
        <row r="1811">
          <cell r="A1811">
            <v>45797</v>
          </cell>
          <cell r="B1811">
            <v>2025000753</v>
          </cell>
          <cell r="C1811" t="str">
            <v>265-2025</v>
          </cell>
          <cell r="D1811">
            <v>4750000</v>
          </cell>
          <cell r="E1811">
            <v>13069636</v>
          </cell>
          <cell r="F1811" t="str">
            <v>JUAN PABLO MADROÑERO MUÑOZ</v>
          </cell>
        </row>
        <row r="1812">
          <cell r="A1812">
            <v>45797</v>
          </cell>
          <cell r="B1812">
            <v>2025000754</v>
          </cell>
          <cell r="C1812" t="str">
            <v>282-2025</v>
          </cell>
          <cell r="D1812">
            <v>2500000</v>
          </cell>
          <cell r="E1812">
            <v>12974849</v>
          </cell>
          <cell r="F1812" t="str">
            <v>PABLO ERNESTO RIOBAMBA IPIALES</v>
          </cell>
        </row>
        <row r="1813">
          <cell r="A1813">
            <v>45797</v>
          </cell>
          <cell r="B1813">
            <v>2025000755</v>
          </cell>
          <cell r="C1813" t="str">
            <v>292-2025</v>
          </cell>
          <cell r="D1813">
            <v>80825000</v>
          </cell>
          <cell r="E1813">
            <v>900633448</v>
          </cell>
          <cell r="F1813" t="str">
            <v>EXPRESO SURAMERICANA DE TURISMO SAS</v>
          </cell>
        </row>
        <row r="1814">
          <cell r="A1814">
            <v>45797</v>
          </cell>
          <cell r="B1814">
            <v>2025000756</v>
          </cell>
          <cell r="C1814" t="str">
            <v>245-2025</v>
          </cell>
          <cell r="D1814">
            <v>3000000</v>
          </cell>
          <cell r="E1814">
            <v>1081592303</v>
          </cell>
          <cell r="F1814" t="str">
            <v>MARILIN  ZAMBRANO OBANDO</v>
          </cell>
        </row>
        <row r="1815">
          <cell r="A1815">
            <v>45797</v>
          </cell>
          <cell r="B1815">
            <v>2025000757</v>
          </cell>
          <cell r="C1815" t="str">
            <v>242-2025</v>
          </cell>
          <cell r="D1815">
            <v>4750000</v>
          </cell>
          <cell r="E1815">
            <v>1085260497</v>
          </cell>
          <cell r="F1815" t="str">
            <v>JOSE FERNANDO CHAÑA QUENGUAN</v>
          </cell>
        </row>
        <row r="1816">
          <cell r="A1816">
            <v>45798</v>
          </cell>
          <cell r="B1816">
            <v>2025000761</v>
          </cell>
          <cell r="C1816" t="str">
            <v>202-2025</v>
          </cell>
          <cell r="D1816">
            <v>6000000</v>
          </cell>
          <cell r="E1816">
            <v>97470681</v>
          </cell>
          <cell r="F1816" t="str">
            <v>FERNANDO TEOFILO ROSERO PATIÑO</v>
          </cell>
        </row>
        <row r="1817">
          <cell r="A1817">
            <v>45798</v>
          </cell>
          <cell r="B1817">
            <v>2025000762</v>
          </cell>
          <cell r="C1817" t="str">
            <v>183-2025</v>
          </cell>
          <cell r="D1817">
            <v>3000000</v>
          </cell>
          <cell r="E1817">
            <v>1085286725</v>
          </cell>
          <cell r="F1817" t="str">
            <v>DIANA CAROLINA ORTEGA CAICEDO</v>
          </cell>
        </row>
        <row r="1818">
          <cell r="A1818">
            <v>45798</v>
          </cell>
          <cell r="B1818">
            <v>2025000763</v>
          </cell>
          <cell r="C1818" t="str">
            <v>227-2025</v>
          </cell>
          <cell r="D1818">
            <v>3000000</v>
          </cell>
          <cell r="E1818">
            <v>1085252263</v>
          </cell>
          <cell r="F1818" t="str">
            <v>DEISY JOHANNA BASTIDAS JOJOA</v>
          </cell>
        </row>
        <row r="1819">
          <cell r="A1819">
            <v>45798</v>
          </cell>
          <cell r="B1819">
            <v>2025000764</v>
          </cell>
          <cell r="C1819" t="str">
            <v>219-2025</v>
          </cell>
          <cell r="D1819">
            <v>2500000</v>
          </cell>
          <cell r="E1819">
            <v>27087720</v>
          </cell>
          <cell r="F1819" t="str">
            <v>PAGUAY GUANCHA MARIA INES</v>
          </cell>
        </row>
        <row r="1820">
          <cell r="A1820">
            <v>45799</v>
          </cell>
          <cell r="B1820">
            <v>2025000767</v>
          </cell>
          <cell r="C1820" t="str">
            <v>199-2025</v>
          </cell>
          <cell r="D1820">
            <v>3000000</v>
          </cell>
          <cell r="E1820">
            <v>1089243630</v>
          </cell>
          <cell r="F1820" t="str">
            <v>YENIFER NAYIBE MENESES TOBAR</v>
          </cell>
        </row>
        <row r="1821">
          <cell r="A1821">
            <v>45799</v>
          </cell>
          <cell r="B1821">
            <v>2025000768</v>
          </cell>
          <cell r="C1821" t="str">
            <v>200-2025</v>
          </cell>
          <cell r="D1821">
            <v>2500000</v>
          </cell>
          <cell r="E1821">
            <v>1085320930</v>
          </cell>
          <cell r="F1821" t="str">
            <v>LINA YEZMIN DE LA CRUZ CUSIS</v>
          </cell>
        </row>
        <row r="1822">
          <cell r="A1822">
            <v>45799</v>
          </cell>
          <cell r="B1822">
            <v>2025000769</v>
          </cell>
          <cell r="C1822" t="str">
            <v>279-2025</v>
          </cell>
          <cell r="D1822">
            <v>2500000</v>
          </cell>
          <cell r="E1822">
            <v>1088729401</v>
          </cell>
          <cell r="F1822" t="str">
            <v>CARLOS ANDRES PANTOJA BENAVIDES</v>
          </cell>
        </row>
        <row r="1823">
          <cell r="A1823">
            <v>45800</v>
          </cell>
          <cell r="B1823">
            <v>2025000770</v>
          </cell>
          <cell r="C1823" t="str">
            <v>281-2025</v>
          </cell>
          <cell r="D1823">
            <v>4750000</v>
          </cell>
          <cell r="E1823">
            <v>1085345772</v>
          </cell>
          <cell r="F1823" t="str">
            <v>MARIA ISABEL ALVAREZ CAICEDO</v>
          </cell>
        </row>
        <row r="1824">
          <cell r="A1824">
            <v>45800</v>
          </cell>
          <cell r="B1824">
            <v>2025000771</v>
          </cell>
          <cell r="C1824" t="str">
            <v>251-2025</v>
          </cell>
          <cell r="D1824">
            <v>3000000</v>
          </cell>
          <cell r="E1824">
            <v>13069881</v>
          </cell>
          <cell r="F1824" t="str">
            <v>FRAN GIOVANNY GETIAL CHICAIZA</v>
          </cell>
        </row>
        <row r="1825">
          <cell r="A1825">
            <v>45800</v>
          </cell>
          <cell r="B1825">
            <v>2025000772</v>
          </cell>
          <cell r="C1825" t="str">
            <v>274-2025</v>
          </cell>
          <cell r="D1825">
            <v>3000000</v>
          </cell>
          <cell r="E1825">
            <v>1082747438</v>
          </cell>
          <cell r="F1825" t="str">
            <v>PAOLA ANDREA MENESES ERAZO</v>
          </cell>
        </row>
        <row r="1826">
          <cell r="A1826">
            <v>45800</v>
          </cell>
          <cell r="B1826">
            <v>2025000773</v>
          </cell>
          <cell r="C1826" t="str">
            <v>268-2025</v>
          </cell>
          <cell r="D1826">
            <v>2500000</v>
          </cell>
          <cell r="E1826">
            <v>1233189896</v>
          </cell>
          <cell r="F1826" t="str">
            <v>NICOLAS EMILIO MENA  JOJOA</v>
          </cell>
        </row>
        <row r="1827">
          <cell r="A1827">
            <v>45803</v>
          </cell>
          <cell r="B1827">
            <v>2025000784</v>
          </cell>
          <cell r="C1827" t="str">
            <v>310-2025</v>
          </cell>
          <cell r="D1827">
            <v>700000</v>
          </cell>
          <cell r="E1827">
            <v>69028150</v>
          </cell>
          <cell r="F1827" t="str">
            <v>LYNN JANINA ORTIZ PAZ</v>
          </cell>
        </row>
        <row r="1828">
          <cell r="A1828">
            <v>45803</v>
          </cell>
          <cell r="B1828">
            <v>2025000785</v>
          </cell>
          <cell r="C1828" t="str">
            <v>239-2025</v>
          </cell>
          <cell r="D1828">
            <v>3000000</v>
          </cell>
          <cell r="E1828">
            <v>1004598784</v>
          </cell>
          <cell r="F1828" t="str">
            <v>YEISON SMIT NUÑEZ ACOSTA</v>
          </cell>
        </row>
        <row r="1829">
          <cell r="A1829">
            <v>45803</v>
          </cell>
          <cell r="B1829">
            <v>2025000786</v>
          </cell>
          <cell r="C1829" t="str">
            <v>184-2025</v>
          </cell>
          <cell r="D1829">
            <v>3000000</v>
          </cell>
          <cell r="E1829">
            <v>1085339190</v>
          </cell>
          <cell r="F1829" t="str">
            <v>KELLY YURANY JOJOA BOTINA</v>
          </cell>
        </row>
        <row r="1830">
          <cell r="A1830">
            <v>45803</v>
          </cell>
          <cell r="B1830">
            <v>2025000787</v>
          </cell>
          <cell r="C1830" t="str">
            <v>224-2025</v>
          </cell>
          <cell r="D1830">
            <v>3000000</v>
          </cell>
          <cell r="E1830">
            <v>1081572043</v>
          </cell>
          <cell r="F1830" t="str">
            <v>TATIANA  ANDREA CRIOLLO GENOY</v>
          </cell>
        </row>
        <row r="1831">
          <cell r="A1831">
            <v>45805</v>
          </cell>
          <cell r="B1831">
            <v>2025000792</v>
          </cell>
          <cell r="C1831" t="str">
            <v>259-2025</v>
          </cell>
          <cell r="D1831">
            <v>73000000</v>
          </cell>
          <cell r="E1831">
            <v>900994364</v>
          </cell>
          <cell r="F1831" t="str">
            <v>FUNDACIÓN CALIDAD DE VIDA Y ESPERANZA</v>
          </cell>
        </row>
        <row r="1832">
          <cell r="A1832">
            <v>45805</v>
          </cell>
          <cell r="B1832">
            <v>2025000793</v>
          </cell>
          <cell r="C1832" t="str">
            <v>260-2025</v>
          </cell>
          <cell r="D1832">
            <v>53502750</v>
          </cell>
          <cell r="E1832">
            <v>900994364</v>
          </cell>
          <cell r="F1832" t="str">
            <v>FUNDACIÓN CALIDAD DE VIDA Y ESPERANZA</v>
          </cell>
        </row>
        <row r="1833">
          <cell r="A1833">
            <v>45806</v>
          </cell>
          <cell r="B1833">
            <v>2025000795</v>
          </cell>
          <cell r="C1833" t="str">
            <v>311-2025</v>
          </cell>
          <cell r="D1833">
            <v>600000</v>
          </cell>
          <cell r="E1833">
            <v>59813323</v>
          </cell>
          <cell r="F1833" t="str">
            <v>GARCIA JOJOA EDITH CRISTINA</v>
          </cell>
        </row>
        <row r="1834">
          <cell r="A1834">
            <v>45807</v>
          </cell>
          <cell r="B1834">
            <v>2025000797</v>
          </cell>
          <cell r="C1834" t="str">
            <v>252-2025</v>
          </cell>
          <cell r="D1834">
            <v>2500000</v>
          </cell>
          <cell r="E1834">
            <v>30736949</v>
          </cell>
          <cell r="F1834" t="str">
            <v>LIGIA DEL CARMEN ERAZO GUERRERO</v>
          </cell>
        </row>
        <row r="1835">
          <cell r="A1835">
            <v>45812</v>
          </cell>
          <cell r="B1835">
            <v>2025000814</v>
          </cell>
          <cell r="C1835" t="str">
            <v>304-2025</v>
          </cell>
          <cell r="D1835">
            <v>2500000</v>
          </cell>
          <cell r="E1835">
            <v>1233188479</v>
          </cell>
          <cell r="F1835" t="str">
            <v>HAROLD CAMILO QUINTERO  GUEVARA</v>
          </cell>
        </row>
        <row r="1836">
          <cell r="A1836">
            <v>45813</v>
          </cell>
          <cell r="B1836">
            <v>2025000833</v>
          </cell>
          <cell r="C1836" t="str">
            <v>309-2025</v>
          </cell>
          <cell r="D1836">
            <v>600000</v>
          </cell>
          <cell r="E1836">
            <v>1004437571</v>
          </cell>
          <cell r="F1836" t="str">
            <v>JULIANA ANDREA PAZ JOJOA</v>
          </cell>
        </row>
        <row r="1837">
          <cell r="A1837">
            <v>45824</v>
          </cell>
          <cell r="B1837">
            <v>2025000948</v>
          </cell>
          <cell r="C1837" t="str">
            <v>303-2025</v>
          </cell>
          <cell r="D1837">
            <v>2500000</v>
          </cell>
          <cell r="E1837">
            <v>1081052090</v>
          </cell>
          <cell r="F1837" t="str">
            <v>DIANA CAROLINA TISOY CHASOY</v>
          </cell>
        </row>
        <row r="1838">
          <cell r="A1838">
            <v>45826</v>
          </cell>
          <cell r="B1838">
            <v>2025000957</v>
          </cell>
          <cell r="C1838" t="str">
            <v>247-2025</v>
          </cell>
          <cell r="D1838">
            <v>3000000</v>
          </cell>
          <cell r="E1838">
            <v>1085318688</v>
          </cell>
          <cell r="F1838" t="str">
            <v>DARLLY ROXANA ROSERO TIMARÁN</v>
          </cell>
        </row>
        <row r="1839">
          <cell r="A1839">
            <v>45826</v>
          </cell>
          <cell r="B1839">
            <v>2025000958</v>
          </cell>
          <cell r="C1839" t="str">
            <v>246-2025</v>
          </cell>
          <cell r="D1839">
            <v>3000000</v>
          </cell>
          <cell r="E1839">
            <v>1030606749</v>
          </cell>
          <cell r="F1839" t="str">
            <v>ANGELA EDITH GONZALEZ PIANDA</v>
          </cell>
        </row>
        <row r="1840">
          <cell r="A1840">
            <v>45826</v>
          </cell>
          <cell r="B1840">
            <v>2025000960</v>
          </cell>
          <cell r="C1840" t="str">
            <v>210-2025</v>
          </cell>
          <cell r="D1840">
            <v>3000000</v>
          </cell>
          <cell r="E1840">
            <v>59833899</v>
          </cell>
          <cell r="F1840" t="str">
            <v>ANDREA LILIANA LAGUNA  RUALES</v>
          </cell>
        </row>
        <row r="1841">
          <cell r="A1841">
            <v>45826</v>
          </cell>
          <cell r="B1841">
            <v>2025000972</v>
          </cell>
          <cell r="C1841" t="str">
            <v>260-2025</v>
          </cell>
          <cell r="D1841">
            <v>53181733</v>
          </cell>
          <cell r="E1841">
            <v>900994364</v>
          </cell>
          <cell r="F1841" t="str">
            <v>FUNDACIÓN CALIDAD DE VIDA Y ESPERANZA</v>
          </cell>
        </row>
        <row r="1842">
          <cell r="A1842">
            <v>45833</v>
          </cell>
          <cell r="B1842">
            <v>2025001036</v>
          </cell>
          <cell r="C1842" t="str">
            <v>314-2025</v>
          </cell>
          <cell r="D1842">
            <v>1400000</v>
          </cell>
          <cell r="E1842">
            <v>1014212900</v>
          </cell>
          <cell r="F1842" t="str">
            <v>LADY CAROLINA TIBAQUIRA BALLESTEROS</v>
          </cell>
        </row>
        <row r="1843">
          <cell r="A1843">
            <v>45826</v>
          </cell>
          <cell r="B1843">
            <v>2025000959</v>
          </cell>
          <cell r="C1843" t="str">
            <v>204-2025</v>
          </cell>
          <cell r="D1843">
            <v>3000000</v>
          </cell>
          <cell r="E1843">
            <v>1086328142</v>
          </cell>
          <cell r="F1843" t="str">
            <v>ZULY MARINA HIDALGO JOJOA</v>
          </cell>
        </row>
        <row r="1844">
          <cell r="A1844">
            <v>45828</v>
          </cell>
          <cell r="B1844">
            <v>2025001006</v>
          </cell>
          <cell r="C1844" t="str">
            <v>259-2025</v>
          </cell>
          <cell r="D1844">
            <v>72562000</v>
          </cell>
          <cell r="E1844">
            <v>900994364</v>
          </cell>
          <cell r="F1844" t="str">
            <v>FUNDACIÓN CALIDAD DE VIDA Y ESPERANZA</v>
          </cell>
        </row>
        <row r="1845">
          <cell r="A1845">
            <v>45828</v>
          </cell>
          <cell r="B1845">
            <v>2025001007</v>
          </cell>
          <cell r="C1845" t="str">
            <v>302-2025</v>
          </cell>
          <cell r="D1845">
            <v>6000000</v>
          </cell>
          <cell r="E1845">
            <v>27097289</v>
          </cell>
          <cell r="F1845" t="str">
            <v>BLANCA MELVA GAVIRIA BRAVO</v>
          </cell>
        </row>
        <row r="1846">
          <cell r="A1846">
            <v>45828</v>
          </cell>
          <cell r="B1846">
            <v>2025001008</v>
          </cell>
          <cell r="C1846" t="str">
            <v>261-2025</v>
          </cell>
          <cell r="D1846">
            <v>2500000</v>
          </cell>
          <cell r="E1846">
            <v>1085318898</v>
          </cell>
          <cell r="F1846" t="str">
            <v>TANIA MARCELA DIAZ DIAZ</v>
          </cell>
        </row>
        <row r="1847">
          <cell r="A1847">
            <v>45828</v>
          </cell>
          <cell r="B1847">
            <v>2025001009</v>
          </cell>
          <cell r="C1847" t="str">
            <v>186-2025</v>
          </cell>
          <cell r="D1847">
            <v>4750000</v>
          </cell>
          <cell r="E1847">
            <v>1193383306</v>
          </cell>
          <cell r="F1847" t="str">
            <v>MARIA  DE LOS ANGELES ACOSTA ROSERO</v>
          </cell>
        </row>
        <row r="1848">
          <cell r="A1848">
            <v>45828</v>
          </cell>
          <cell r="B1848">
            <v>2025001010</v>
          </cell>
          <cell r="C1848" t="str">
            <v>182-2025</v>
          </cell>
          <cell r="D1848">
            <v>3000000</v>
          </cell>
          <cell r="E1848">
            <v>1137624011</v>
          </cell>
          <cell r="F1848" t="str">
            <v>KAROL DAYANA TONGUINO TORO</v>
          </cell>
        </row>
        <row r="1849">
          <cell r="A1849">
            <v>45828</v>
          </cell>
          <cell r="B1849">
            <v>2025001011</v>
          </cell>
          <cell r="C1849" t="str">
            <v>227-2025</v>
          </cell>
          <cell r="D1849">
            <v>3000000</v>
          </cell>
          <cell r="E1849">
            <v>1085252263</v>
          </cell>
          <cell r="F1849" t="str">
            <v>DEISY JOHANNA BASTIDAS JOJOA</v>
          </cell>
        </row>
        <row r="1850">
          <cell r="A1850">
            <v>45828</v>
          </cell>
          <cell r="B1850">
            <v>2025001012</v>
          </cell>
          <cell r="C1850" t="str">
            <v>180-2025</v>
          </cell>
          <cell r="D1850">
            <v>4825000</v>
          </cell>
          <cell r="E1850">
            <v>1085265622</v>
          </cell>
          <cell r="F1850" t="str">
            <v>VIVIANA MERCEDES PIZANO PORTILLA</v>
          </cell>
        </row>
        <row r="1851">
          <cell r="A1851">
            <v>45828</v>
          </cell>
          <cell r="B1851">
            <v>2025001013</v>
          </cell>
          <cell r="C1851" t="str">
            <v>228-2025</v>
          </cell>
          <cell r="D1851">
            <v>7500000</v>
          </cell>
          <cell r="E1851">
            <v>87067123</v>
          </cell>
          <cell r="F1851" t="str">
            <v>EDWIN  PANTOJA OTERO</v>
          </cell>
        </row>
        <row r="1852">
          <cell r="A1852">
            <v>45828</v>
          </cell>
          <cell r="B1852">
            <v>2025001014</v>
          </cell>
          <cell r="C1852" t="str">
            <v>216-2025</v>
          </cell>
          <cell r="D1852">
            <v>4750000</v>
          </cell>
          <cell r="E1852">
            <v>1085264667</v>
          </cell>
          <cell r="F1852" t="str">
            <v>DANNY ALEXANDER SANCHEZ ESTRADA</v>
          </cell>
        </row>
        <row r="1853">
          <cell r="A1853">
            <v>45832</v>
          </cell>
          <cell r="B1853">
            <v>2025001017</v>
          </cell>
          <cell r="C1853" t="str">
            <v>205-2025</v>
          </cell>
          <cell r="D1853">
            <v>4825000</v>
          </cell>
          <cell r="E1853">
            <v>1085267184</v>
          </cell>
          <cell r="F1853" t="str">
            <v>ANGELA PAOLA BOLAÐOS ARGOTI</v>
          </cell>
        </row>
        <row r="1854">
          <cell r="A1854">
            <v>45832</v>
          </cell>
          <cell r="B1854">
            <v>2025001018</v>
          </cell>
          <cell r="C1854" t="str">
            <v>249-2025</v>
          </cell>
          <cell r="D1854">
            <v>2500000</v>
          </cell>
          <cell r="E1854">
            <v>59310145</v>
          </cell>
          <cell r="F1854" t="str">
            <v>EDITH ANGELICA LOPEZ VILLARREAL</v>
          </cell>
        </row>
        <row r="1855">
          <cell r="A1855">
            <v>45832</v>
          </cell>
          <cell r="B1855">
            <v>2025001019</v>
          </cell>
          <cell r="C1855" t="str">
            <v>214-2025</v>
          </cell>
          <cell r="D1855">
            <v>3000000</v>
          </cell>
          <cell r="E1855">
            <v>98391531</v>
          </cell>
          <cell r="F1855" t="str">
            <v>HECTOR GERMAN OJEDA CERON</v>
          </cell>
        </row>
        <row r="1856">
          <cell r="A1856">
            <v>45832</v>
          </cell>
          <cell r="B1856">
            <v>2025001020</v>
          </cell>
          <cell r="C1856" t="str">
            <v>178-2025</v>
          </cell>
          <cell r="D1856">
            <v>4750000</v>
          </cell>
          <cell r="E1856">
            <v>1085303067</v>
          </cell>
          <cell r="F1856" t="str">
            <v>CINDY ESTEFANIA GONZALES DEL CASTILLO</v>
          </cell>
        </row>
        <row r="1857">
          <cell r="A1857">
            <v>45832</v>
          </cell>
          <cell r="B1857">
            <v>2025001021</v>
          </cell>
          <cell r="C1857" t="str">
            <v>181-2025</v>
          </cell>
          <cell r="D1857">
            <v>4825000</v>
          </cell>
          <cell r="E1857">
            <v>27087851</v>
          </cell>
          <cell r="F1857" t="str">
            <v>ADRIANA YORLADY ARMERO BURBANO</v>
          </cell>
        </row>
        <row r="1858">
          <cell r="A1858">
            <v>45832</v>
          </cell>
          <cell r="B1858">
            <v>2025001022</v>
          </cell>
          <cell r="C1858" t="str">
            <v>262-2025</v>
          </cell>
          <cell r="D1858">
            <v>2500000</v>
          </cell>
          <cell r="E1858">
            <v>59821094</v>
          </cell>
          <cell r="F1858" t="str">
            <v>ADRIANA PATRICIA DUEÑAS SALAZAR</v>
          </cell>
        </row>
        <row r="1859">
          <cell r="A1859">
            <v>45832</v>
          </cell>
          <cell r="B1859">
            <v>2025001023</v>
          </cell>
          <cell r="C1859" t="str">
            <v>188-2025</v>
          </cell>
          <cell r="D1859">
            <v>3000000</v>
          </cell>
          <cell r="E1859">
            <v>59834953</v>
          </cell>
          <cell r="F1859" t="str">
            <v>PATRICIA YOLANDA PAZ  DELGADO</v>
          </cell>
        </row>
        <row r="1860">
          <cell r="A1860">
            <v>45832</v>
          </cell>
          <cell r="B1860">
            <v>2025001024</v>
          </cell>
          <cell r="C1860" t="str">
            <v>187-2025</v>
          </cell>
          <cell r="D1860">
            <v>4750000</v>
          </cell>
          <cell r="E1860">
            <v>59651018</v>
          </cell>
          <cell r="F1860" t="str">
            <v>DIANA MARIA ERASO ALAVA</v>
          </cell>
        </row>
        <row r="1861">
          <cell r="A1861">
            <v>45832</v>
          </cell>
          <cell r="B1861">
            <v>2025001025</v>
          </cell>
          <cell r="C1861" t="str">
            <v>209-2025</v>
          </cell>
          <cell r="D1861">
            <v>3000000</v>
          </cell>
          <cell r="E1861">
            <v>1085317833</v>
          </cell>
          <cell r="F1861" t="str">
            <v>ANGIE VIVIANA SACANAMBUY PAZ</v>
          </cell>
        </row>
        <row r="1862">
          <cell r="A1862">
            <v>45832</v>
          </cell>
          <cell r="B1862">
            <v>2025001026</v>
          </cell>
          <cell r="C1862" t="str">
            <v>364-2025</v>
          </cell>
          <cell r="D1862">
            <v>2500000</v>
          </cell>
          <cell r="E1862">
            <v>1085314334</v>
          </cell>
          <cell r="F1862" t="str">
            <v>NELSY MARITZA JOJOA JOJOA</v>
          </cell>
        </row>
        <row r="1863">
          <cell r="A1863">
            <v>45832</v>
          </cell>
          <cell r="B1863">
            <v>2025001027</v>
          </cell>
          <cell r="C1863" t="str">
            <v>202-2025</v>
          </cell>
          <cell r="D1863">
            <v>6000000</v>
          </cell>
          <cell r="E1863">
            <v>97470681</v>
          </cell>
          <cell r="F1863" t="str">
            <v>FERNANDO TEOFILO ROSERO PATIÑO</v>
          </cell>
        </row>
        <row r="1864">
          <cell r="A1864">
            <v>45832</v>
          </cell>
          <cell r="B1864">
            <v>2025001028</v>
          </cell>
          <cell r="C1864" t="str">
            <v>240-2025</v>
          </cell>
          <cell r="D1864">
            <v>7500000</v>
          </cell>
          <cell r="E1864">
            <v>1006946167</v>
          </cell>
          <cell r="F1864" t="str">
            <v>LIZETH MARCELA ORTÌZ MUÑOZ</v>
          </cell>
        </row>
        <row r="1865">
          <cell r="A1865">
            <v>45832</v>
          </cell>
          <cell r="B1865">
            <v>2025001029</v>
          </cell>
          <cell r="C1865" t="str">
            <v>244-2025</v>
          </cell>
          <cell r="D1865">
            <v>3000000</v>
          </cell>
          <cell r="E1865">
            <v>98382500</v>
          </cell>
          <cell r="F1865" t="str">
            <v>JOSE JAVIER PINTA YAQUENO</v>
          </cell>
        </row>
        <row r="1866">
          <cell r="A1866">
            <v>45832</v>
          </cell>
          <cell r="B1866">
            <v>2025001030</v>
          </cell>
          <cell r="C1866" t="str">
            <v>192-2025</v>
          </cell>
          <cell r="D1866">
            <v>6000000</v>
          </cell>
          <cell r="E1866">
            <v>59837608</v>
          </cell>
          <cell r="F1866" t="str">
            <v>ALBA DENIS ARGOTY SANTACRUZ</v>
          </cell>
        </row>
        <row r="1867">
          <cell r="A1867">
            <v>45832</v>
          </cell>
          <cell r="B1867">
            <v>2025001031</v>
          </cell>
          <cell r="C1867" t="str">
            <v>225-2025</v>
          </cell>
          <cell r="D1867">
            <v>3000000</v>
          </cell>
          <cell r="E1867">
            <v>1088733625</v>
          </cell>
          <cell r="F1867" t="str">
            <v>YOLLDY LIZETH CABRERA FUERTES</v>
          </cell>
        </row>
        <row r="1868">
          <cell r="A1868">
            <v>45834</v>
          </cell>
          <cell r="B1868">
            <v>2025001037</v>
          </cell>
          <cell r="C1868" t="str">
            <v>251-2025</v>
          </cell>
          <cell r="D1868">
            <v>3000000</v>
          </cell>
          <cell r="E1868">
            <v>13069881</v>
          </cell>
          <cell r="F1868" t="str">
            <v>FRAN GIOVANNY GETIAL CHICAIZA</v>
          </cell>
        </row>
        <row r="1869">
          <cell r="A1869">
            <v>45834</v>
          </cell>
          <cell r="B1869">
            <v>2025001038</v>
          </cell>
          <cell r="C1869" t="str">
            <v>194-2025</v>
          </cell>
          <cell r="D1869">
            <v>4750000</v>
          </cell>
          <cell r="E1869">
            <v>59824313</v>
          </cell>
          <cell r="F1869" t="str">
            <v>FANY LUCELY RODRIGUEZ CRIOLLO</v>
          </cell>
        </row>
        <row r="1870">
          <cell r="A1870">
            <v>45834</v>
          </cell>
          <cell r="B1870">
            <v>2025001039</v>
          </cell>
          <cell r="C1870" t="str">
            <v>366-2025</v>
          </cell>
          <cell r="D1870">
            <v>2500000</v>
          </cell>
          <cell r="E1870">
            <v>37083937</v>
          </cell>
          <cell r="F1870" t="str">
            <v xml:space="preserve">MERCEDES OLIVIA POVEDA </v>
          </cell>
        </row>
        <row r="1871">
          <cell r="A1871">
            <v>45834</v>
          </cell>
          <cell r="B1871">
            <v>2025001040</v>
          </cell>
          <cell r="C1871" t="str">
            <v>229-2025</v>
          </cell>
          <cell r="D1871">
            <v>3000000</v>
          </cell>
          <cell r="E1871">
            <v>1004232508</v>
          </cell>
          <cell r="F1871" t="str">
            <v>PABLO JOSÉ BADOS LÒPEZ</v>
          </cell>
        </row>
        <row r="1872">
          <cell r="A1872">
            <v>45834</v>
          </cell>
          <cell r="B1872">
            <v>2025001041</v>
          </cell>
          <cell r="C1872" t="str">
            <v>185-2025</v>
          </cell>
          <cell r="D1872">
            <v>4750000</v>
          </cell>
          <cell r="E1872">
            <v>59816986</v>
          </cell>
          <cell r="F1872" t="str">
            <v>INÉS MERCEDES LÓPEZ TORRES</v>
          </cell>
        </row>
        <row r="1873">
          <cell r="A1873">
            <v>45834</v>
          </cell>
          <cell r="B1873">
            <v>2025001042</v>
          </cell>
          <cell r="C1873" t="str">
            <v>346-2025</v>
          </cell>
          <cell r="D1873">
            <v>6000000</v>
          </cell>
          <cell r="E1873">
            <v>1085245375</v>
          </cell>
          <cell r="F1873" t="str">
            <v>PAOLA ANDREA RIOS TAPIA</v>
          </cell>
        </row>
        <row r="1874">
          <cell r="A1874">
            <v>45834</v>
          </cell>
          <cell r="B1874">
            <v>2025001043</v>
          </cell>
          <cell r="C1874" t="str">
            <v>225-2025</v>
          </cell>
          <cell r="D1874">
            <v>3000000</v>
          </cell>
          <cell r="E1874">
            <v>1088733625</v>
          </cell>
          <cell r="F1874" t="str">
            <v>YOLLDY LIZETH CABRERA FUERTES</v>
          </cell>
        </row>
        <row r="1875">
          <cell r="A1875">
            <v>45834</v>
          </cell>
          <cell r="B1875">
            <v>2025001044</v>
          </cell>
          <cell r="C1875" t="str">
            <v>211-2025</v>
          </cell>
          <cell r="D1875">
            <v>3000000</v>
          </cell>
          <cell r="E1875">
            <v>1233188273</v>
          </cell>
          <cell r="F1875" t="str">
            <v>ALEJANDRA MARLENY PATIÑO VALENCIA</v>
          </cell>
        </row>
        <row r="1876">
          <cell r="A1876">
            <v>45834</v>
          </cell>
          <cell r="B1876">
            <v>2025001045</v>
          </cell>
          <cell r="C1876" t="str">
            <v>268-2025</v>
          </cell>
          <cell r="D1876">
            <v>2500000</v>
          </cell>
          <cell r="E1876">
            <v>1233189896</v>
          </cell>
          <cell r="F1876" t="str">
            <v>NICOLAS EMILIO MENA  JOJOA</v>
          </cell>
        </row>
        <row r="1877">
          <cell r="A1877">
            <v>45834</v>
          </cell>
          <cell r="B1877">
            <v>2025001047</v>
          </cell>
          <cell r="C1877" t="str">
            <v>254-2025</v>
          </cell>
          <cell r="D1877">
            <v>4750000</v>
          </cell>
          <cell r="E1877">
            <v>1085331141</v>
          </cell>
          <cell r="F1877" t="str">
            <v>YEIMER DANILO CAEZ MORALES</v>
          </cell>
        </row>
        <row r="1878">
          <cell r="A1878">
            <v>45834</v>
          </cell>
          <cell r="B1878">
            <v>2025001048</v>
          </cell>
          <cell r="C1878" t="str">
            <v>277-2025</v>
          </cell>
          <cell r="D1878">
            <v>3000000</v>
          </cell>
          <cell r="E1878">
            <v>37083324</v>
          </cell>
          <cell r="F1878" t="str">
            <v>ANNY MAYERLINE NARVAEZ ÑAÑEZ</v>
          </cell>
        </row>
        <row r="1879">
          <cell r="A1879">
            <v>45834</v>
          </cell>
          <cell r="B1879">
            <v>2025001049</v>
          </cell>
          <cell r="C1879" t="str">
            <v>208-2025</v>
          </cell>
          <cell r="D1879">
            <v>3000000</v>
          </cell>
          <cell r="E1879">
            <v>1004234290</v>
          </cell>
          <cell r="F1879" t="str">
            <v>LAURA  SOFIA ROSERO DAVID</v>
          </cell>
        </row>
        <row r="1880">
          <cell r="A1880">
            <v>45834</v>
          </cell>
          <cell r="B1880">
            <v>2025001050</v>
          </cell>
          <cell r="C1880" t="str">
            <v>224-2025</v>
          </cell>
          <cell r="D1880">
            <v>3000000</v>
          </cell>
          <cell r="E1880">
            <v>1081572043</v>
          </cell>
          <cell r="F1880" t="str">
            <v>TATIANA  ANDREA CRIOLLO GENOY</v>
          </cell>
        </row>
        <row r="1881">
          <cell r="A1881">
            <v>45834</v>
          </cell>
          <cell r="B1881">
            <v>2025001052</v>
          </cell>
          <cell r="C1881" t="str">
            <v>222-2025</v>
          </cell>
          <cell r="D1881">
            <v>4750000</v>
          </cell>
          <cell r="E1881">
            <v>27087475</v>
          </cell>
          <cell r="F1881" t="str">
            <v>JANETH EMILSE DIAZ  ARCINIEGAS</v>
          </cell>
        </row>
        <row r="1882">
          <cell r="A1882">
            <v>45834</v>
          </cell>
          <cell r="B1882">
            <v>2025001054</v>
          </cell>
          <cell r="C1882" t="str">
            <v>266-2025</v>
          </cell>
          <cell r="D1882">
            <v>2500000</v>
          </cell>
          <cell r="E1882">
            <v>37087268</v>
          </cell>
          <cell r="F1882" t="str">
            <v>ALEXANDRA MARIA ORTEGA ROSERO</v>
          </cell>
        </row>
        <row r="1883">
          <cell r="A1883">
            <v>45834</v>
          </cell>
          <cell r="B1883">
            <v>2025001055</v>
          </cell>
          <cell r="C1883" t="str">
            <v>219-2025</v>
          </cell>
          <cell r="D1883">
            <v>2500000</v>
          </cell>
          <cell r="E1883">
            <v>27087720</v>
          </cell>
          <cell r="F1883" t="str">
            <v>PAGUAY GUANCHA MARIA INES</v>
          </cell>
        </row>
        <row r="1884">
          <cell r="A1884">
            <v>45834</v>
          </cell>
          <cell r="B1884">
            <v>2025001056</v>
          </cell>
          <cell r="C1884" t="str">
            <v>190-2025</v>
          </cell>
          <cell r="D1884">
            <v>3000000</v>
          </cell>
          <cell r="E1884">
            <v>1010082397</v>
          </cell>
          <cell r="F1884" t="str">
            <v>JAQUELINE CAMILA GENOY VILLOTA</v>
          </cell>
        </row>
        <row r="1885">
          <cell r="A1885">
            <v>45834</v>
          </cell>
          <cell r="B1885">
            <v>2025001057</v>
          </cell>
          <cell r="C1885" t="str">
            <v>269-2025</v>
          </cell>
          <cell r="D1885">
            <v>6000000</v>
          </cell>
          <cell r="E1885">
            <v>36757221</v>
          </cell>
          <cell r="F1885" t="str">
            <v>FANNY MARIELA CORDOBA MORENO</v>
          </cell>
        </row>
        <row r="1886">
          <cell r="A1886">
            <v>45834</v>
          </cell>
          <cell r="B1886">
            <v>2025001063</v>
          </cell>
          <cell r="C1886" t="str">
            <v>310-2025</v>
          </cell>
          <cell r="D1886">
            <v>3000000</v>
          </cell>
          <cell r="E1886">
            <v>69028150</v>
          </cell>
          <cell r="F1886" t="str">
            <v>LYNN JANINA ORTIZ PAZ</v>
          </cell>
        </row>
        <row r="1887">
          <cell r="A1887">
            <v>45834</v>
          </cell>
          <cell r="B1887">
            <v>2025001064</v>
          </cell>
          <cell r="C1887" t="str">
            <v>193-2025</v>
          </cell>
          <cell r="D1887">
            <v>4750000</v>
          </cell>
          <cell r="E1887">
            <v>1085313870</v>
          </cell>
          <cell r="F1887" t="str">
            <v>CAROL SILVANA PATIÑO VALENCIA</v>
          </cell>
        </row>
        <row r="1888">
          <cell r="A1888">
            <v>45834</v>
          </cell>
          <cell r="B1888">
            <v>2025001065</v>
          </cell>
          <cell r="C1888" t="str">
            <v>179-2025</v>
          </cell>
          <cell r="D1888">
            <v>4825000</v>
          </cell>
          <cell r="E1888">
            <v>1085324891</v>
          </cell>
          <cell r="F1888" t="str">
            <v>NICOLAS ALEJANDRO ROSERO MORILLO</v>
          </cell>
        </row>
        <row r="1889">
          <cell r="A1889">
            <v>45834</v>
          </cell>
          <cell r="B1889">
            <v>2025001066</v>
          </cell>
          <cell r="C1889" t="str">
            <v>386-2025</v>
          </cell>
          <cell r="D1889">
            <v>3000000</v>
          </cell>
          <cell r="E1889">
            <v>37087117</v>
          </cell>
          <cell r="F1889" t="str">
            <v>TULCAN GAMBOA NAYIBE JACQUELINE</v>
          </cell>
        </row>
        <row r="1890">
          <cell r="A1890">
            <v>45834</v>
          </cell>
          <cell r="B1890">
            <v>2025001067</v>
          </cell>
          <cell r="C1890" t="str">
            <v>282-2025</v>
          </cell>
          <cell r="D1890">
            <v>2500000</v>
          </cell>
          <cell r="E1890">
            <v>12974849</v>
          </cell>
          <cell r="F1890" t="str">
            <v>PABLO ERNESTO RIOBAMBA IPIALES</v>
          </cell>
        </row>
        <row r="1891">
          <cell r="A1891">
            <v>45834</v>
          </cell>
          <cell r="B1891">
            <v>2025001068</v>
          </cell>
          <cell r="C1891" t="str">
            <v>304-2025</v>
          </cell>
          <cell r="D1891">
            <v>2500000</v>
          </cell>
          <cell r="E1891">
            <v>1233188479</v>
          </cell>
          <cell r="F1891" t="str">
            <v>HAROLD CAMILO QUINTERO  GUEVARA</v>
          </cell>
        </row>
        <row r="1892">
          <cell r="A1892">
            <v>45834</v>
          </cell>
          <cell r="B1892">
            <v>2025001069</v>
          </cell>
          <cell r="C1892" t="str">
            <v>226-2025</v>
          </cell>
          <cell r="D1892">
            <v>4750000</v>
          </cell>
          <cell r="E1892">
            <v>59312865</v>
          </cell>
          <cell r="F1892" t="str">
            <v>DIANA CAROLINA CORTES TAPIA</v>
          </cell>
        </row>
        <row r="1893">
          <cell r="A1893">
            <v>45834</v>
          </cell>
          <cell r="B1893">
            <v>2025001070</v>
          </cell>
          <cell r="C1893" t="str">
            <v>278-2025</v>
          </cell>
          <cell r="D1893">
            <v>6000000</v>
          </cell>
          <cell r="E1893">
            <v>1085275879</v>
          </cell>
          <cell r="F1893" t="str">
            <v>DANIELA FERNANDA ERASO VALENCIA</v>
          </cell>
        </row>
        <row r="1894">
          <cell r="A1894">
            <v>45834</v>
          </cell>
          <cell r="B1894">
            <v>2025001071</v>
          </cell>
          <cell r="C1894" t="str">
            <v>200-2025</v>
          </cell>
          <cell r="D1894">
            <v>2500000</v>
          </cell>
          <cell r="E1894">
            <v>1085320930</v>
          </cell>
          <cell r="F1894" t="str">
            <v>LINA YEZMIN DE LA CRUZ CUSIS</v>
          </cell>
        </row>
        <row r="1895">
          <cell r="A1895">
            <v>45834</v>
          </cell>
          <cell r="B1895">
            <v>2025001053</v>
          </cell>
          <cell r="C1895" t="str">
            <v>196-2025</v>
          </cell>
          <cell r="D1895">
            <v>460000</v>
          </cell>
          <cell r="E1895">
            <v>1085324685</v>
          </cell>
          <cell r="F1895" t="str">
            <v xml:space="preserve">LINA MARIA PIZANO PEREZ </v>
          </cell>
        </row>
        <row r="1896">
          <cell r="A1896">
            <v>45841</v>
          </cell>
          <cell r="B1896">
            <v>2025001101</v>
          </cell>
          <cell r="C1896" t="str">
            <v>248-2025</v>
          </cell>
          <cell r="D1896">
            <v>4825000</v>
          </cell>
          <cell r="E1896">
            <v>12748383</v>
          </cell>
          <cell r="F1896" t="str">
            <v>ANDRES ERNESTO BRAVO  ALMEIDA</v>
          </cell>
        </row>
        <row r="1897">
          <cell r="A1897">
            <v>45841</v>
          </cell>
          <cell r="B1897">
            <v>2025001102</v>
          </cell>
          <cell r="C1897" t="str">
            <v>234-2025</v>
          </cell>
          <cell r="D1897">
            <v>3000000</v>
          </cell>
          <cell r="E1897">
            <v>1086223299</v>
          </cell>
          <cell r="F1897" t="str">
            <v>DOLY MAYBRI TIMANA GUACAN</v>
          </cell>
        </row>
        <row r="1898">
          <cell r="A1898">
            <v>45842</v>
          </cell>
          <cell r="B1898">
            <v>2025001103</v>
          </cell>
          <cell r="C1898" t="str">
            <v>235-2025</v>
          </cell>
          <cell r="D1898">
            <v>6000000</v>
          </cell>
          <cell r="E1898">
            <v>59820414</v>
          </cell>
          <cell r="F1898" t="str">
            <v>CARMEN PATRICIA CORDOBA ARTEAGA</v>
          </cell>
        </row>
        <row r="1899">
          <cell r="A1899">
            <v>45842</v>
          </cell>
          <cell r="B1899">
            <v>2025001104</v>
          </cell>
          <cell r="C1899" t="str">
            <v>212-2025</v>
          </cell>
          <cell r="D1899">
            <v>3000000</v>
          </cell>
          <cell r="E1899">
            <v>37084285</v>
          </cell>
          <cell r="F1899" t="str">
            <v>JULIE ANDREA FREIRE MIER</v>
          </cell>
        </row>
        <row r="1900">
          <cell r="A1900">
            <v>45842</v>
          </cell>
          <cell r="B1900">
            <v>2025001105</v>
          </cell>
          <cell r="C1900" t="str">
            <v>360-2025</v>
          </cell>
          <cell r="D1900">
            <v>3000000</v>
          </cell>
          <cell r="E1900">
            <v>1085314138</v>
          </cell>
          <cell r="F1900" t="str">
            <v>NATHALIA ELIZABETH TULCAN GAMBOA</v>
          </cell>
        </row>
        <row r="1901">
          <cell r="A1901">
            <v>45842</v>
          </cell>
          <cell r="B1901">
            <v>2025001106</v>
          </cell>
          <cell r="C1901" t="str">
            <v>375-2025</v>
          </cell>
          <cell r="D1901">
            <v>3000000</v>
          </cell>
          <cell r="E1901">
            <v>36753698</v>
          </cell>
          <cell r="F1901" t="str">
            <v>ANA MILENA JACANMIJOY TREJO</v>
          </cell>
        </row>
        <row r="1902">
          <cell r="A1902">
            <v>45842</v>
          </cell>
          <cell r="B1902">
            <v>2025001107</v>
          </cell>
          <cell r="C1902" t="str">
            <v>218-2025</v>
          </cell>
          <cell r="D1902">
            <v>3000000</v>
          </cell>
          <cell r="E1902">
            <v>1085326791</v>
          </cell>
          <cell r="F1902" t="str">
            <v>EDIER ERNEY CORDOBA ROJAS</v>
          </cell>
        </row>
        <row r="1903">
          <cell r="A1903">
            <v>45842</v>
          </cell>
          <cell r="B1903">
            <v>2025001108</v>
          </cell>
          <cell r="C1903" t="str">
            <v>276-2025</v>
          </cell>
          <cell r="D1903">
            <v>3000000</v>
          </cell>
          <cell r="E1903">
            <v>27436186</v>
          </cell>
          <cell r="F1903" t="str">
            <v>ANYELY ROCIO LOPEZ ROSERO</v>
          </cell>
        </row>
        <row r="1904">
          <cell r="A1904">
            <v>45842</v>
          </cell>
          <cell r="B1904">
            <v>2025001109</v>
          </cell>
          <cell r="C1904" t="str">
            <v>217-2025</v>
          </cell>
          <cell r="D1904">
            <v>4750000</v>
          </cell>
          <cell r="E1904">
            <v>27190772</v>
          </cell>
          <cell r="F1904" t="str">
            <v>MILENA ELIZABETH ORDOÐEZ ORTIZ</v>
          </cell>
        </row>
        <row r="1905">
          <cell r="A1905">
            <v>45842</v>
          </cell>
          <cell r="B1905">
            <v>2025001110</v>
          </cell>
          <cell r="C1905" t="str">
            <v>184-2025</v>
          </cell>
          <cell r="D1905">
            <v>3000000</v>
          </cell>
          <cell r="E1905">
            <v>1085339190</v>
          </cell>
          <cell r="F1905" t="str">
            <v>KELLY YURANY JOJOA BOTINA</v>
          </cell>
        </row>
        <row r="1906">
          <cell r="A1906">
            <v>45842</v>
          </cell>
          <cell r="B1906">
            <v>2025001111</v>
          </cell>
          <cell r="C1906" t="str">
            <v>274-2025</v>
          </cell>
          <cell r="D1906">
            <v>3000000</v>
          </cell>
          <cell r="E1906">
            <v>1082747438</v>
          </cell>
          <cell r="F1906" t="str">
            <v>PAOLA ANDREA MENESES ERAZO</v>
          </cell>
        </row>
        <row r="1907">
          <cell r="A1907">
            <v>45842</v>
          </cell>
          <cell r="B1907">
            <v>2025001112</v>
          </cell>
          <cell r="C1907" t="str">
            <v>307-2025</v>
          </cell>
          <cell r="D1907">
            <v>7500000</v>
          </cell>
          <cell r="E1907">
            <v>1233192708</v>
          </cell>
          <cell r="F1907" t="str">
            <v>DIANA SOFIA PANTOJA RUANO</v>
          </cell>
        </row>
        <row r="1908">
          <cell r="A1908">
            <v>45842</v>
          </cell>
          <cell r="B1908">
            <v>2025001113</v>
          </cell>
          <cell r="C1908" t="str">
            <v>243-2025</v>
          </cell>
          <cell r="D1908">
            <v>6000000</v>
          </cell>
          <cell r="E1908">
            <v>1082748420</v>
          </cell>
          <cell r="F1908" t="str">
            <v>NATHALIA  ROSERO RODRIGUEZ</v>
          </cell>
        </row>
        <row r="1909">
          <cell r="A1909">
            <v>45842</v>
          </cell>
          <cell r="B1909">
            <v>2025001121</v>
          </cell>
          <cell r="C1909" t="str">
            <v>183-2025</v>
          </cell>
          <cell r="D1909">
            <v>3000000</v>
          </cell>
          <cell r="E1909">
            <v>1085286725</v>
          </cell>
          <cell r="F1909" t="str">
            <v>DIANA CAROLINA ORTEGA CAICEDO</v>
          </cell>
        </row>
        <row r="1910">
          <cell r="A1910">
            <v>45842</v>
          </cell>
          <cell r="B1910">
            <v>2025001122</v>
          </cell>
          <cell r="C1910" t="str">
            <v>311-2025</v>
          </cell>
          <cell r="D1910">
            <v>3000000</v>
          </cell>
          <cell r="E1910">
            <v>59813323</v>
          </cell>
          <cell r="F1910" t="str">
            <v>GARCIA JOJOA EDITH CRISTINA</v>
          </cell>
        </row>
        <row r="1911">
          <cell r="A1911">
            <v>45842</v>
          </cell>
          <cell r="B1911">
            <v>2025001123</v>
          </cell>
          <cell r="C1911" t="str">
            <v>271-2025</v>
          </cell>
          <cell r="D1911">
            <v>4825000</v>
          </cell>
          <cell r="E1911">
            <v>27088141</v>
          </cell>
          <cell r="F1911" t="str">
            <v>CONSTANZA HAIDY UNIGARRO PAZ</v>
          </cell>
        </row>
        <row r="1912">
          <cell r="A1912">
            <v>45842</v>
          </cell>
          <cell r="B1912">
            <v>2025001126</v>
          </cell>
          <cell r="C1912" t="str">
            <v>265-2025</v>
          </cell>
          <cell r="D1912">
            <v>4750000</v>
          </cell>
          <cell r="E1912">
            <v>13069636</v>
          </cell>
          <cell r="F1912" t="str">
            <v>JUAN PABLO MADROÑERO MUÑOZ</v>
          </cell>
        </row>
        <row r="1913">
          <cell r="A1913">
            <v>45842</v>
          </cell>
          <cell r="B1913">
            <v>2025001127</v>
          </cell>
          <cell r="C1913" t="str">
            <v>221-2025</v>
          </cell>
          <cell r="D1913">
            <v>3000000</v>
          </cell>
          <cell r="E1913">
            <v>1233191675</v>
          </cell>
          <cell r="F1913" t="str">
            <v>NATHALY STEPHANIE MARTINEZ MARTINEZ</v>
          </cell>
        </row>
        <row r="1914">
          <cell r="A1914">
            <v>45842</v>
          </cell>
          <cell r="B1914">
            <v>2025001128</v>
          </cell>
          <cell r="C1914" t="str">
            <v>239-2025</v>
          </cell>
          <cell r="D1914">
            <v>3000000</v>
          </cell>
          <cell r="E1914">
            <v>1004598784</v>
          </cell>
          <cell r="F1914" t="str">
            <v>YEISON SMIT NUÑEZ ACOSTA</v>
          </cell>
        </row>
        <row r="1915">
          <cell r="A1915">
            <v>45842</v>
          </cell>
          <cell r="B1915">
            <v>2025001129</v>
          </cell>
          <cell r="C1915" t="str">
            <v>238-2025</v>
          </cell>
          <cell r="D1915">
            <v>3000000</v>
          </cell>
          <cell r="E1915">
            <v>30743783</v>
          </cell>
          <cell r="F1915" t="str">
            <v>JAQUELINE  MELO MOSQUERA</v>
          </cell>
        </row>
        <row r="1916">
          <cell r="A1916">
            <v>45842</v>
          </cell>
          <cell r="B1916">
            <v>2025001130</v>
          </cell>
          <cell r="C1916" t="str">
            <v>223-2025</v>
          </cell>
          <cell r="D1916">
            <v>3000000</v>
          </cell>
          <cell r="E1916">
            <v>1004535234</v>
          </cell>
          <cell r="F1916" t="str">
            <v>BRIGIT ESNIT GARCIA MANCHABAJOY</v>
          </cell>
        </row>
        <row r="1917">
          <cell r="A1917">
            <v>45846</v>
          </cell>
          <cell r="B1917">
            <v>2025001185</v>
          </cell>
          <cell r="C1917" t="str">
            <v>279-2025</v>
          </cell>
          <cell r="D1917">
            <v>2500000</v>
          </cell>
          <cell r="E1917">
            <v>1088729401</v>
          </cell>
          <cell r="F1917" t="str">
            <v>CARLOS ANDRES PANTOJA BENAVIDES</v>
          </cell>
        </row>
        <row r="1918">
          <cell r="A1918">
            <v>45846</v>
          </cell>
          <cell r="B1918">
            <v>2025001186</v>
          </cell>
          <cell r="C1918" t="str">
            <v>314-2025</v>
          </cell>
          <cell r="D1918">
            <v>6000000</v>
          </cell>
          <cell r="E1918">
            <v>1014212900</v>
          </cell>
          <cell r="F1918" t="str">
            <v>LADY CAROLINA TIBAQUIRA BALLESTEROS</v>
          </cell>
        </row>
        <row r="1919">
          <cell r="A1919">
            <v>45846</v>
          </cell>
          <cell r="B1919">
            <v>2025001187</v>
          </cell>
          <cell r="C1919" t="str">
            <v>309-2025</v>
          </cell>
          <cell r="D1919">
            <v>3000000</v>
          </cell>
          <cell r="E1919">
            <v>1004437571</v>
          </cell>
          <cell r="F1919" t="str">
            <v>JULIANA ANDREA PAZ JOJOA</v>
          </cell>
        </row>
        <row r="1920">
          <cell r="A1920">
            <v>45846</v>
          </cell>
          <cell r="B1920">
            <v>2025001188</v>
          </cell>
          <cell r="C1920" t="str">
            <v>307-2025</v>
          </cell>
          <cell r="D1920">
            <v>7500000</v>
          </cell>
          <cell r="E1920">
            <v>1233192708</v>
          </cell>
          <cell r="F1920" t="str">
            <v>DIANA SOFIA PANTOJA RUANO</v>
          </cell>
        </row>
        <row r="1921">
          <cell r="A1921">
            <v>45846</v>
          </cell>
          <cell r="B1921">
            <v>2025001189</v>
          </cell>
          <cell r="C1921" t="str">
            <v>367-2025</v>
          </cell>
          <cell r="D1921">
            <v>2500000</v>
          </cell>
          <cell r="E1921">
            <v>12990231</v>
          </cell>
          <cell r="F1921" t="str">
            <v>EDUARDO  MAURICIO NARVAEZ GUERRA</v>
          </cell>
        </row>
        <row r="1922">
          <cell r="A1922">
            <v>45846</v>
          </cell>
          <cell r="B1922">
            <v>2025001190</v>
          </cell>
          <cell r="C1922" t="str">
            <v>250-2025</v>
          </cell>
          <cell r="D1922">
            <v>2500000</v>
          </cell>
          <cell r="E1922">
            <v>1085347173</v>
          </cell>
          <cell r="F1922" t="str">
            <v>JEISSON STEVEN BASANTE ERAZO</v>
          </cell>
        </row>
        <row r="1923">
          <cell r="A1923">
            <v>45847</v>
          </cell>
          <cell r="B1923">
            <v>2025001195</v>
          </cell>
          <cell r="C1923" t="str">
            <v>252-2025</v>
          </cell>
          <cell r="D1923">
            <v>2500000</v>
          </cell>
          <cell r="E1923">
            <v>30736949</v>
          </cell>
          <cell r="F1923" t="str">
            <v>LIGIA DEL CARMEN ERAZO GUERRERO</v>
          </cell>
        </row>
        <row r="1924">
          <cell r="A1924">
            <v>45847</v>
          </cell>
          <cell r="B1924">
            <v>2025001196</v>
          </cell>
          <cell r="C1924" t="str">
            <v>363-2025</v>
          </cell>
          <cell r="D1924">
            <v>6000000</v>
          </cell>
          <cell r="E1924">
            <v>36954410</v>
          </cell>
          <cell r="F1924" t="str">
            <v>KARINA MARIBEL LUNA LOPEZ</v>
          </cell>
        </row>
        <row r="1925">
          <cell r="A1925">
            <v>45847</v>
          </cell>
          <cell r="B1925">
            <v>2025001197</v>
          </cell>
          <cell r="C1925" t="str">
            <v>359-2025</v>
          </cell>
          <cell r="D1925">
            <v>6000000</v>
          </cell>
          <cell r="E1925">
            <v>1085253062</v>
          </cell>
          <cell r="F1925" t="str">
            <v>LILIANA MAYER BOTINA CRIOLLO</v>
          </cell>
        </row>
        <row r="1926">
          <cell r="A1926">
            <v>45847</v>
          </cell>
          <cell r="B1926">
            <v>2025001199</v>
          </cell>
          <cell r="C1926" t="str">
            <v>270-2025</v>
          </cell>
          <cell r="D1926">
            <v>3000000</v>
          </cell>
          <cell r="E1926">
            <v>1085286742</v>
          </cell>
          <cell r="F1926" t="str">
            <v>VANESSA KATHERINE JOJOA ARIAS</v>
          </cell>
        </row>
        <row r="1927">
          <cell r="A1927">
            <v>45847</v>
          </cell>
          <cell r="B1927">
            <v>2025001201</v>
          </cell>
          <cell r="C1927" t="str">
            <v>245-2025</v>
          </cell>
          <cell r="D1927">
            <v>3000000</v>
          </cell>
          <cell r="E1927">
            <v>1081592303</v>
          </cell>
          <cell r="F1927" t="str">
            <v>MARILYN  ZAMBRANO OBANDO</v>
          </cell>
        </row>
        <row r="1928">
          <cell r="A1928">
            <v>45847</v>
          </cell>
          <cell r="B1928">
            <v>2025001205</v>
          </cell>
          <cell r="C1928" t="str">
            <v>201-2025</v>
          </cell>
          <cell r="D1928">
            <v>3000000</v>
          </cell>
          <cell r="E1928">
            <v>13070330</v>
          </cell>
          <cell r="F1928" t="str">
            <v>ELBER ALFREDO CAMPAÑA IMBAQUIN</v>
          </cell>
        </row>
        <row r="1929">
          <cell r="A1929">
            <v>45847</v>
          </cell>
          <cell r="B1929">
            <v>2025001207</v>
          </cell>
          <cell r="C1929" t="str">
            <v>267-2025</v>
          </cell>
          <cell r="D1929">
            <v>3000000</v>
          </cell>
          <cell r="E1929">
            <v>27388522</v>
          </cell>
          <cell r="F1929" t="str">
            <v>NUVI GRACIELA CHAMORRO CORAL</v>
          </cell>
        </row>
        <row r="1930">
          <cell r="A1930">
            <v>45847</v>
          </cell>
          <cell r="B1930">
            <v>2025001208</v>
          </cell>
          <cell r="C1930" t="str">
            <v>281-2025</v>
          </cell>
          <cell r="D1930">
            <v>4750000</v>
          </cell>
          <cell r="E1930">
            <v>1085345772</v>
          </cell>
          <cell r="F1930" t="str">
            <v>MARIA ISABEL ALVAREZ CAICEDO</v>
          </cell>
        </row>
        <row r="1931">
          <cell r="A1931">
            <v>45847</v>
          </cell>
          <cell r="B1931">
            <v>2025001209</v>
          </cell>
          <cell r="C1931" t="str">
            <v>242-2025</v>
          </cell>
          <cell r="D1931">
            <v>4750000</v>
          </cell>
          <cell r="E1931">
            <v>1085260497</v>
          </cell>
          <cell r="F1931" t="str">
            <v>JOSE FERNANDO CHAÑA QUENGUAN</v>
          </cell>
        </row>
        <row r="1932">
          <cell r="A1932">
            <v>45847</v>
          </cell>
          <cell r="B1932">
            <v>2025001210</v>
          </cell>
          <cell r="C1932" t="str">
            <v>263-2025</v>
          </cell>
          <cell r="D1932">
            <v>3000000</v>
          </cell>
          <cell r="E1932">
            <v>1004216993</v>
          </cell>
          <cell r="F1932" t="str">
            <v>ANDREA  NATHALY ALAVA BOLAÑOS</v>
          </cell>
        </row>
        <row r="1933">
          <cell r="A1933">
            <v>45847</v>
          </cell>
          <cell r="B1933">
            <v>2025001211</v>
          </cell>
          <cell r="C1933" t="str">
            <v>358-2025</v>
          </cell>
          <cell r="D1933">
            <v>3000000</v>
          </cell>
          <cell r="E1933">
            <v>27082649</v>
          </cell>
          <cell r="F1933" t="str">
            <v xml:space="preserve">PATRICIA MARIBEL MARTINEZ </v>
          </cell>
        </row>
        <row r="1934">
          <cell r="A1934">
            <v>45847</v>
          </cell>
          <cell r="B1934">
            <v>2025001212</v>
          </cell>
          <cell r="C1934" t="str">
            <v>177-2025</v>
          </cell>
          <cell r="D1934">
            <v>4750000</v>
          </cell>
          <cell r="E1934">
            <v>1085318684</v>
          </cell>
          <cell r="F1934" t="str">
            <v>JENIFER  AREVALO CRIOLLO</v>
          </cell>
        </row>
        <row r="1935">
          <cell r="A1935">
            <v>45847</v>
          </cell>
          <cell r="B1935">
            <v>2025001213</v>
          </cell>
          <cell r="C1935" t="str">
            <v>258-2025</v>
          </cell>
          <cell r="D1935">
            <v>3000000</v>
          </cell>
          <cell r="E1935">
            <v>1004235479</v>
          </cell>
          <cell r="F1935" t="str">
            <v>TANIA KARINA CUERO CASANOVA</v>
          </cell>
        </row>
        <row r="1936">
          <cell r="A1936">
            <v>45847</v>
          </cell>
          <cell r="B1936">
            <v>2025001214</v>
          </cell>
          <cell r="C1936" t="str">
            <v>378-2025</v>
          </cell>
          <cell r="D1936">
            <v>6000000</v>
          </cell>
          <cell r="E1936">
            <v>1193223736</v>
          </cell>
          <cell r="F1936" t="str">
            <v>EMILY  ROMERO MENDOZA</v>
          </cell>
        </row>
        <row r="1937">
          <cell r="A1937">
            <v>45847</v>
          </cell>
          <cell r="B1937">
            <v>2025001215</v>
          </cell>
          <cell r="C1937" t="str">
            <v>189-2025</v>
          </cell>
          <cell r="D1937">
            <v>3000000</v>
          </cell>
          <cell r="E1937">
            <v>1085288636</v>
          </cell>
          <cell r="F1937" t="str">
            <v>DIANA SOFIA AYALA DIAZ</v>
          </cell>
        </row>
        <row r="1938">
          <cell r="A1938">
            <v>45847</v>
          </cell>
          <cell r="B1938">
            <v>2025001198</v>
          </cell>
          <cell r="C1938" t="str">
            <v>292-2025</v>
          </cell>
          <cell r="D1938">
            <v>78901725</v>
          </cell>
          <cell r="E1938">
            <v>900633448</v>
          </cell>
          <cell r="F1938" t="str">
            <v>EXPRESO SURAMERICANA DE TURISMO SAS</v>
          </cell>
        </row>
        <row r="1939">
          <cell r="A1939">
            <v>45847</v>
          </cell>
          <cell r="B1939">
            <v>2025001223</v>
          </cell>
          <cell r="C1939" t="str">
            <v>448-2025</v>
          </cell>
          <cell r="D1939">
            <v>7500000</v>
          </cell>
          <cell r="E1939">
            <v>1085344794</v>
          </cell>
          <cell r="F1939" t="str">
            <v>IVAN ALEXANDER BEJARANO RAMIREZ</v>
          </cell>
        </row>
        <row r="1940">
          <cell r="A1940">
            <v>45848</v>
          </cell>
          <cell r="B1940">
            <v>2025001225</v>
          </cell>
          <cell r="C1940" t="str">
            <v>438-2025</v>
          </cell>
          <cell r="D1940">
            <v>3000000</v>
          </cell>
          <cell r="E1940">
            <v>59825382</v>
          </cell>
          <cell r="F1940" t="str">
            <v>USAMA TATICUAN LUZ EMILIA</v>
          </cell>
        </row>
        <row r="1941">
          <cell r="A1941">
            <v>45848</v>
          </cell>
          <cell r="B1941">
            <v>2025001226</v>
          </cell>
          <cell r="C1941" t="str">
            <v>357-2025</v>
          </cell>
          <cell r="D1941">
            <v>7500000</v>
          </cell>
          <cell r="E1941">
            <v>1085255870</v>
          </cell>
          <cell r="F1941" t="str">
            <v>ANGELA LORENA LOPEZ  VALLEJO</v>
          </cell>
        </row>
        <row r="1942">
          <cell r="A1942">
            <v>45848</v>
          </cell>
          <cell r="B1942">
            <v>2025001227</v>
          </cell>
          <cell r="C1942" t="str">
            <v>220-2025</v>
          </cell>
          <cell r="D1942">
            <v>3000000</v>
          </cell>
          <cell r="E1942">
            <v>1086329609</v>
          </cell>
          <cell r="F1942" t="str">
            <v>LORENA DEL CARMEN  OJEDA VAZQUEZ</v>
          </cell>
        </row>
        <row r="1943">
          <cell r="A1943">
            <v>45849</v>
          </cell>
          <cell r="B1943">
            <v>2025001237</v>
          </cell>
          <cell r="C1943" t="str">
            <v>424-2025</v>
          </cell>
          <cell r="D1943">
            <v>3000000</v>
          </cell>
          <cell r="E1943">
            <v>37082232</v>
          </cell>
          <cell r="F1943" t="str">
            <v>ZAMBRANO ONOFRE MYRIAM ADRIANA</v>
          </cell>
        </row>
        <row r="1944">
          <cell r="A1944">
            <v>45849</v>
          </cell>
          <cell r="B1944">
            <v>2025001238</v>
          </cell>
          <cell r="C1944" t="str">
            <v>350-2025</v>
          </cell>
          <cell r="D1944">
            <v>6000000</v>
          </cell>
          <cell r="E1944">
            <v>1233193716</v>
          </cell>
          <cell r="F1944" t="str">
            <v>MARIA CAMILA PATIÑO DELGADO</v>
          </cell>
        </row>
        <row r="1945">
          <cell r="A1945">
            <v>45853</v>
          </cell>
          <cell r="B1945">
            <v>2025001286</v>
          </cell>
          <cell r="C1945" t="str">
            <v>432-2025</v>
          </cell>
          <cell r="D1945">
            <v>3000000</v>
          </cell>
          <cell r="E1945">
            <v>5292370</v>
          </cell>
          <cell r="F1945" t="str">
            <v>CARLOS ADRIAN MEDINA GUERRERO</v>
          </cell>
        </row>
        <row r="1946">
          <cell r="A1946">
            <v>45853</v>
          </cell>
          <cell r="B1946">
            <v>2025001287</v>
          </cell>
          <cell r="C1946" t="str">
            <v>433-2025</v>
          </cell>
          <cell r="D1946">
            <v>3000000</v>
          </cell>
          <cell r="E1946">
            <v>36754382</v>
          </cell>
          <cell r="F1946" t="str">
            <v>TABLA ANDRADE OLIVA ESPERANZA</v>
          </cell>
        </row>
        <row r="1947">
          <cell r="A1947">
            <v>45853</v>
          </cell>
          <cell r="B1947">
            <v>2025001288</v>
          </cell>
          <cell r="C1947" t="str">
            <v>434-2025</v>
          </cell>
          <cell r="D1947">
            <v>3000000</v>
          </cell>
          <cell r="E1947">
            <v>1080690249</v>
          </cell>
          <cell r="F1947" t="str">
            <v>YANCARLO YAMIT PUCHANA RAMOS</v>
          </cell>
        </row>
        <row r="1948">
          <cell r="A1948">
            <v>45853</v>
          </cell>
          <cell r="B1948">
            <v>2025001289</v>
          </cell>
          <cell r="C1948" t="str">
            <v>431-2025</v>
          </cell>
          <cell r="D1948">
            <v>3000000</v>
          </cell>
          <cell r="E1948">
            <v>1085257949</v>
          </cell>
          <cell r="F1948" t="str">
            <v>FANNY MIREYA LIMAS CUNDAR</v>
          </cell>
        </row>
        <row r="1949">
          <cell r="A1949">
            <v>45853</v>
          </cell>
          <cell r="B1949">
            <v>2025001290</v>
          </cell>
          <cell r="C1949" t="str">
            <v>446-2025</v>
          </cell>
          <cell r="D1949">
            <v>4750000</v>
          </cell>
          <cell r="E1949">
            <v>1087414586</v>
          </cell>
          <cell r="F1949" t="str">
            <v>YULY MARCELA MORALES LOPEZ</v>
          </cell>
        </row>
        <row r="1950">
          <cell r="A1950">
            <v>45853</v>
          </cell>
          <cell r="B1950">
            <v>2025001291</v>
          </cell>
          <cell r="C1950" t="str">
            <v>368-2025</v>
          </cell>
          <cell r="D1950">
            <v>3000000</v>
          </cell>
          <cell r="E1950">
            <v>59830040</v>
          </cell>
          <cell r="F1950" t="str">
            <v>ANA CLEMENCIA BASTIDAS CERON</v>
          </cell>
        </row>
        <row r="1951">
          <cell r="A1951">
            <v>45854</v>
          </cell>
          <cell r="B1951">
            <v>2025001303</v>
          </cell>
          <cell r="C1951" t="str">
            <v>439-2025</v>
          </cell>
          <cell r="D1951">
            <v>7500000</v>
          </cell>
          <cell r="E1951">
            <v>1085937671</v>
          </cell>
          <cell r="F1951" t="str">
            <v>DIANA CAROLINA CORAL LOPEZ</v>
          </cell>
        </row>
        <row r="1952">
          <cell r="A1952">
            <v>45854</v>
          </cell>
          <cell r="B1952">
            <v>2025001316</v>
          </cell>
          <cell r="C1952" t="str">
            <v>429-2025</v>
          </cell>
          <cell r="D1952">
            <v>3000000</v>
          </cell>
          <cell r="E1952">
            <v>1086363186</v>
          </cell>
          <cell r="F1952" t="str">
            <v>JERSON LEODAN LEITON TORO</v>
          </cell>
        </row>
        <row r="1953">
          <cell r="A1953">
            <v>45854</v>
          </cell>
          <cell r="B1953">
            <v>2025001317</v>
          </cell>
          <cell r="C1953" t="str">
            <v>425-2025</v>
          </cell>
          <cell r="D1953">
            <v>3000000</v>
          </cell>
          <cell r="E1953">
            <v>59706564</v>
          </cell>
          <cell r="F1953" t="str">
            <v>DOLLY DIGNA DAVILA</v>
          </cell>
        </row>
        <row r="1954">
          <cell r="A1954">
            <v>45854</v>
          </cell>
          <cell r="B1954">
            <v>2025001318</v>
          </cell>
          <cell r="C1954" t="str">
            <v>451-2025</v>
          </cell>
          <cell r="D1954">
            <v>3000000</v>
          </cell>
          <cell r="E1954">
            <v>1085274630</v>
          </cell>
          <cell r="F1954" t="str">
            <v>CARLOS EDUARDO BASTIDAS OBANDO</v>
          </cell>
        </row>
        <row r="1955">
          <cell r="A1955">
            <v>45854</v>
          </cell>
          <cell r="B1955">
            <v>2025001319</v>
          </cell>
          <cell r="C1955" t="str">
            <v>421-2025</v>
          </cell>
          <cell r="D1955">
            <v>3000000</v>
          </cell>
          <cell r="E1955">
            <v>1004743217</v>
          </cell>
          <cell r="F1955" t="str">
            <v>JEFFERSON RIGO LEITON RODRIGUEZ</v>
          </cell>
        </row>
        <row r="1956">
          <cell r="A1956">
            <v>45854</v>
          </cell>
          <cell r="B1956">
            <v>2025001337</v>
          </cell>
          <cell r="C1956" t="str">
            <v>441-2025</v>
          </cell>
          <cell r="D1956">
            <v>3000000</v>
          </cell>
          <cell r="E1956">
            <v>1085267505</v>
          </cell>
          <cell r="F1956" t="str">
            <v xml:space="preserve">MORILLO SANTACRUZ ANGELA MARIA   </v>
          </cell>
        </row>
        <row r="1957">
          <cell r="A1957">
            <v>45855</v>
          </cell>
          <cell r="B1957">
            <v>2025001339</v>
          </cell>
          <cell r="C1957" t="str">
            <v>444-2025</v>
          </cell>
          <cell r="D1957">
            <v>7500000</v>
          </cell>
          <cell r="E1957">
            <v>1085300619</v>
          </cell>
          <cell r="F1957" t="str">
            <v>BUITRAGO ALZATE JERSON ALBEIRO</v>
          </cell>
        </row>
        <row r="1958">
          <cell r="A1958">
            <v>45855</v>
          </cell>
          <cell r="B1958">
            <v>2025001340</v>
          </cell>
          <cell r="C1958" t="str">
            <v>427-2025</v>
          </cell>
          <cell r="D1958">
            <v>3000000</v>
          </cell>
          <cell r="E1958">
            <v>36950482</v>
          </cell>
          <cell r="F1958" t="str">
            <v>BOTINA VALLEJO SANDRA YANETH</v>
          </cell>
        </row>
        <row r="1959">
          <cell r="A1959">
            <v>45855</v>
          </cell>
          <cell r="B1959">
            <v>2025001349</v>
          </cell>
          <cell r="C1959" t="str">
            <v>426-2025</v>
          </cell>
          <cell r="D1959">
            <v>3000000</v>
          </cell>
          <cell r="E1959">
            <v>1085314608</v>
          </cell>
          <cell r="F1959" t="str">
            <v>JULIET ELIANA MORENO LOPEZ</v>
          </cell>
        </row>
        <row r="1960">
          <cell r="A1960">
            <v>45856</v>
          </cell>
          <cell r="B1960">
            <v>2025001366</v>
          </cell>
          <cell r="C1960" t="str">
            <v>423-2025</v>
          </cell>
          <cell r="D1960">
            <v>4750000</v>
          </cell>
          <cell r="E1960">
            <v>59830379</v>
          </cell>
          <cell r="F1960" t="str">
            <v>ORTIZ BOTINA MARIANA DE JESUS</v>
          </cell>
        </row>
        <row r="1961">
          <cell r="A1961">
            <v>45859</v>
          </cell>
          <cell r="B1961">
            <v>2025001368</v>
          </cell>
          <cell r="C1961" t="str">
            <v>418-2025</v>
          </cell>
          <cell r="D1961">
            <v>6000000</v>
          </cell>
          <cell r="E1961">
            <v>59311844</v>
          </cell>
          <cell r="F1961" t="str">
            <v>SANTACRUZ NARVAEZ KAREN GUISELA</v>
          </cell>
        </row>
        <row r="1962">
          <cell r="A1962">
            <v>45859</v>
          </cell>
          <cell r="B1962">
            <v>2025001369</v>
          </cell>
          <cell r="C1962" t="str">
            <v>430-2025</v>
          </cell>
          <cell r="D1962">
            <v>3000000</v>
          </cell>
          <cell r="E1962">
            <v>59835389</v>
          </cell>
          <cell r="F1962" t="str">
            <v>SANDRA PATRICIA GOMEZ SANCHEZ</v>
          </cell>
        </row>
        <row r="1963">
          <cell r="A1963">
            <v>45859</v>
          </cell>
          <cell r="B1963">
            <v>2025001372</v>
          </cell>
          <cell r="C1963" t="str">
            <v>447-2025</v>
          </cell>
          <cell r="D1963">
            <v>4750000</v>
          </cell>
          <cell r="E1963">
            <v>1085313870</v>
          </cell>
          <cell r="F1963" t="str">
            <v>CAROL SILVANA PATIÑO VALENCIA</v>
          </cell>
        </row>
        <row r="1964">
          <cell r="A1964">
            <v>45862</v>
          </cell>
          <cell r="B1964">
            <v>2025001443</v>
          </cell>
          <cell r="C1964" t="str">
            <v>428-2025</v>
          </cell>
          <cell r="D1964">
            <v>3000000</v>
          </cell>
          <cell r="E1964">
            <v>1085272774</v>
          </cell>
          <cell r="F1964" t="str">
            <v>PAOLA ANDREA ROSAS MORA</v>
          </cell>
        </row>
        <row r="1965">
          <cell r="A1965">
            <v>45862</v>
          </cell>
          <cell r="B1965">
            <v>2025001445</v>
          </cell>
          <cell r="C1965" t="str">
            <v>303-2025</v>
          </cell>
          <cell r="D1965">
            <v>2500000</v>
          </cell>
          <cell r="E1965">
            <v>1081052090</v>
          </cell>
          <cell r="F1965" t="str">
            <v>DIANA CAROLINA TISOY CHASOY</v>
          </cell>
        </row>
        <row r="1966">
          <cell r="A1966">
            <v>45867</v>
          </cell>
          <cell r="B1966">
            <v>2025001462</v>
          </cell>
          <cell r="C1966" t="str">
            <v>449-2025</v>
          </cell>
          <cell r="D1966">
            <v>4825000</v>
          </cell>
          <cell r="E1966">
            <v>36751052</v>
          </cell>
          <cell r="F1966" t="str">
            <v>RUBY STELLA AREVALO BASTIDAS</v>
          </cell>
        </row>
        <row r="1967">
          <cell r="A1967">
            <v>45854</v>
          </cell>
          <cell r="B1967">
            <v>2025001336</v>
          </cell>
          <cell r="C1967" t="str">
            <v>466-2025</v>
          </cell>
          <cell r="D1967">
            <v>4825000</v>
          </cell>
          <cell r="E1967">
            <v>1085324891</v>
          </cell>
          <cell r="F1967" t="str">
            <v>NICOLAS ALEJANDRO ROSERO MORILLO</v>
          </cell>
        </row>
        <row r="1968">
          <cell r="A1968">
            <v>45849</v>
          </cell>
          <cell r="B1968">
            <v>2025001236</v>
          </cell>
          <cell r="C1968" t="str">
            <v>450-2025</v>
          </cell>
          <cell r="D1968">
            <v>4750000</v>
          </cell>
          <cell r="E1968">
            <v>1085330309</v>
          </cell>
          <cell r="F1968" t="str">
            <v>LEYDI GISELLA BENAVIDES LÒPEZ</v>
          </cell>
        </row>
        <row r="1969">
          <cell r="A1969">
            <v>45855</v>
          </cell>
          <cell r="B1969">
            <v>2025001338</v>
          </cell>
          <cell r="C1969" t="str">
            <v>442-2025</v>
          </cell>
          <cell r="D1969">
            <v>6000000</v>
          </cell>
          <cell r="E1969">
            <v>1085340697</v>
          </cell>
          <cell r="F1969" t="str">
            <v>ANA GLAIR ESTRADA CASTILLO</v>
          </cell>
        </row>
        <row r="1970">
          <cell r="A1970">
            <v>45859</v>
          </cell>
          <cell r="B1970">
            <v>2025001373</v>
          </cell>
          <cell r="C1970" t="str">
            <v>471-2025</v>
          </cell>
          <cell r="D1970">
            <v>7500000</v>
          </cell>
          <cell r="E1970">
            <v>1085329980</v>
          </cell>
          <cell r="F1970" t="str">
            <v>MARIA  CAMILA JURADO PAZ</v>
          </cell>
        </row>
        <row r="1971">
          <cell r="A1971">
            <v>45862</v>
          </cell>
          <cell r="B1971">
            <v>2025001444</v>
          </cell>
          <cell r="C1971" t="str">
            <v>443-2025</v>
          </cell>
          <cell r="D1971">
            <v>6000000</v>
          </cell>
          <cell r="E1971">
            <v>1085303585</v>
          </cell>
          <cell r="F1971" t="str">
            <v>MARIA ISABEL VELASCOS ROSERO</v>
          </cell>
        </row>
        <row r="1972">
          <cell r="A1972">
            <v>45867</v>
          </cell>
          <cell r="B1972">
            <v>2025001456</v>
          </cell>
          <cell r="C1972" t="str">
            <v>494-2025</v>
          </cell>
          <cell r="D1972">
            <v>6000000</v>
          </cell>
          <cell r="E1972">
            <v>27146489</v>
          </cell>
          <cell r="F1972" t="str">
            <v>NEIRA JIMENA CASTILLO ARMERO</v>
          </cell>
        </row>
        <row r="1973">
          <cell r="A1973">
            <v>45867</v>
          </cell>
          <cell r="B1973">
            <v>2025001461</v>
          </cell>
          <cell r="C1973" t="str">
            <v>452-2025</v>
          </cell>
          <cell r="D1973">
            <v>4825000</v>
          </cell>
          <cell r="E1973">
            <v>1004508471</v>
          </cell>
          <cell r="F1973" t="str">
            <v>ISABELA CATALINA CALDERON MERA</v>
          </cell>
        </row>
        <row r="1974">
          <cell r="A1974">
            <v>45867</v>
          </cell>
          <cell r="B1974">
            <v>2025001468</v>
          </cell>
          <cell r="C1974" t="str">
            <v>474-2025</v>
          </cell>
          <cell r="D1974">
            <v>2500000</v>
          </cell>
          <cell r="E1974">
            <v>1233189896</v>
          </cell>
          <cell r="F1974" t="str">
            <v>NICOLAS EMILIO MENA  JOJOA</v>
          </cell>
        </row>
        <row r="1975">
          <cell r="A1975">
            <v>45868</v>
          </cell>
          <cell r="B1975">
            <v>2025001471</v>
          </cell>
          <cell r="C1975" t="str">
            <v>501-2025</v>
          </cell>
          <cell r="D1975">
            <v>36195000</v>
          </cell>
          <cell r="E1975">
            <v>900994364</v>
          </cell>
          <cell r="F1975" t="str">
            <v>FUNDACIÓN CALIDAD DE VIDA Y ESPERANZA</v>
          </cell>
        </row>
        <row r="1976">
          <cell r="A1976">
            <v>45873</v>
          </cell>
          <cell r="B1976">
            <v>2025001499</v>
          </cell>
          <cell r="C1976" t="str">
            <v>199-2025</v>
          </cell>
          <cell r="D1976">
            <v>1500000</v>
          </cell>
          <cell r="E1976">
            <v>1089243630</v>
          </cell>
          <cell r="F1976" t="str">
            <v>YENIFER NAYIBE MENESES TOBAR</v>
          </cell>
        </row>
        <row r="1977">
          <cell r="A1977">
            <v>45873</v>
          </cell>
          <cell r="B1977">
            <v>2025001503</v>
          </cell>
          <cell r="C1977" t="str">
            <v>436-2025</v>
          </cell>
          <cell r="D1977">
            <v>3000000</v>
          </cell>
          <cell r="E1977">
            <v>1030606749</v>
          </cell>
          <cell r="F1977" t="str">
            <v>ANGELA EDITH GONZALEZ PIANDA</v>
          </cell>
        </row>
        <row r="1978">
          <cell r="A1978">
            <v>45873</v>
          </cell>
          <cell r="B1978">
            <v>2025001496</v>
          </cell>
          <cell r="C1978" t="str">
            <v>464-2025</v>
          </cell>
          <cell r="D1978">
            <v>6000000</v>
          </cell>
          <cell r="E1978">
            <v>1085286476</v>
          </cell>
          <cell r="F1978" t="str">
            <v>ELIANA STEPHANIE CAICEDO ALVAREZ</v>
          </cell>
        </row>
        <row r="1979">
          <cell r="A1979">
            <v>45873</v>
          </cell>
          <cell r="B1979">
            <v>2025001497</v>
          </cell>
          <cell r="C1979" t="str">
            <v>459-2025</v>
          </cell>
          <cell r="D1979">
            <v>3000000</v>
          </cell>
          <cell r="E1979">
            <v>69028150</v>
          </cell>
          <cell r="F1979" t="str">
            <v>LYNN JANINA ORTIZ PAZ</v>
          </cell>
        </row>
        <row r="1980">
          <cell r="A1980">
            <v>45873</v>
          </cell>
          <cell r="B1980">
            <v>2025001498</v>
          </cell>
          <cell r="C1980" t="str">
            <v>454-2025</v>
          </cell>
          <cell r="D1980">
            <v>7500000</v>
          </cell>
          <cell r="E1980">
            <v>80765093</v>
          </cell>
          <cell r="F1980" t="str">
            <v>FRANCISCO  RAFAEL ORTÍZ BENÌTEZ</v>
          </cell>
        </row>
        <row r="1981">
          <cell r="A1981">
            <v>45873</v>
          </cell>
          <cell r="B1981">
            <v>2025001504</v>
          </cell>
          <cell r="C1981" t="str">
            <v>507-2025</v>
          </cell>
          <cell r="D1981">
            <v>3000000</v>
          </cell>
          <cell r="E1981">
            <v>1081594639</v>
          </cell>
          <cell r="F1981" t="str">
            <v>ANYI NATALY FARINANGO CHAVEZ</v>
          </cell>
        </row>
        <row r="1982">
          <cell r="A1982">
            <v>45873</v>
          </cell>
          <cell r="B1982">
            <v>2025001505</v>
          </cell>
          <cell r="C1982" t="str">
            <v>467-2025</v>
          </cell>
          <cell r="D1982">
            <v>3000000</v>
          </cell>
          <cell r="E1982">
            <v>36752202</v>
          </cell>
          <cell r="F1982" t="str">
            <v>PAULA ANDREA ROCHA DELGADO</v>
          </cell>
        </row>
        <row r="1983">
          <cell r="A1983">
            <v>45875</v>
          </cell>
          <cell r="B1983">
            <v>2025001524</v>
          </cell>
          <cell r="C1983" t="str">
            <v>461-2025</v>
          </cell>
          <cell r="D1983">
            <v>4825000</v>
          </cell>
          <cell r="E1983">
            <v>1085338534</v>
          </cell>
          <cell r="F1983" t="str">
            <v>ANA VICTORIA ORTEGA GOMEZ</v>
          </cell>
        </row>
        <row r="1984">
          <cell r="A1984">
            <v>45875</v>
          </cell>
          <cell r="B1984">
            <v>2025001526</v>
          </cell>
          <cell r="C1984" t="str">
            <v>510-2025</v>
          </cell>
          <cell r="D1984">
            <v>3000000</v>
          </cell>
          <cell r="E1984">
            <v>1086222689</v>
          </cell>
          <cell r="F1984" t="str">
            <v>PAULA ANDREA PRADO ACOSTA</v>
          </cell>
        </row>
        <row r="1985">
          <cell r="A1985">
            <v>45875</v>
          </cell>
          <cell r="B1985">
            <v>2025001527</v>
          </cell>
          <cell r="C1985" t="str">
            <v>473-2025</v>
          </cell>
          <cell r="D1985">
            <v>3000000</v>
          </cell>
          <cell r="E1985">
            <v>1193271854</v>
          </cell>
          <cell r="F1985" t="str">
            <v>JUANITA MAYLIN VELASQUEZ REVELO</v>
          </cell>
        </row>
        <row r="1986">
          <cell r="A1986">
            <v>45875</v>
          </cell>
          <cell r="B1986">
            <v>2025001528</v>
          </cell>
          <cell r="C1986" t="str">
            <v>468-2025</v>
          </cell>
          <cell r="D1986">
            <v>4750000</v>
          </cell>
          <cell r="E1986">
            <v>59651018</v>
          </cell>
          <cell r="F1986" t="str">
            <v>DIANA MARIA ERASO ALAVA</v>
          </cell>
        </row>
        <row r="1987">
          <cell r="A1987">
            <v>45875</v>
          </cell>
          <cell r="B1987">
            <v>2025001529</v>
          </cell>
          <cell r="C1987" t="str">
            <v>490-2025</v>
          </cell>
          <cell r="D1987">
            <v>3000000</v>
          </cell>
          <cell r="E1987">
            <v>1081592303</v>
          </cell>
          <cell r="F1987" t="str">
            <v>MARILYN  ZAMBRANO OBANDO</v>
          </cell>
        </row>
        <row r="1988">
          <cell r="A1988">
            <v>45877</v>
          </cell>
          <cell r="B1988">
            <v>2025001537</v>
          </cell>
          <cell r="C1988" t="str">
            <v>453-2025</v>
          </cell>
          <cell r="D1988">
            <v>4750000</v>
          </cell>
          <cell r="E1988">
            <v>1085343783</v>
          </cell>
          <cell r="F1988" t="str">
            <v>DANIELA ALEXANDRA DIAZ GUERRERO</v>
          </cell>
        </row>
        <row r="1989">
          <cell r="A1989">
            <v>45877</v>
          </cell>
          <cell r="B1989">
            <v>2025001538</v>
          </cell>
          <cell r="C1989" t="str">
            <v>491-2025</v>
          </cell>
          <cell r="D1989">
            <v>4750000</v>
          </cell>
          <cell r="E1989">
            <v>1085345772</v>
          </cell>
          <cell r="F1989" t="str">
            <v>MARIA ISABEL ALVAREZ CAICEDO</v>
          </cell>
        </row>
        <row r="1990">
          <cell r="A1990">
            <v>45877</v>
          </cell>
          <cell r="B1990">
            <v>2025001539</v>
          </cell>
          <cell r="C1990" t="str">
            <v>543-2025</v>
          </cell>
          <cell r="D1990">
            <v>3000000</v>
          </cell>
          <cell r="E1990">
            <v>1233189234</v>
          </cell>
          <cell r="F1990" t="str">
            <v>YULLI KAROLINA CASTILLO PAZ</v>
          </cell>
        </row>
        <row r="1991">
          <cell r="A1991">
            <v>45877</v>
          </cell>
          <cell r="B1991">
            <v>2025001541</v>
          </cell>
          <cell r="C1991" t="str">
            <v>458-2025</v>
          </cell>
          <cell r="D1991">
            <v>3000000</v>
          </cell>
          <cell r="E1991">
            <v>59310524</v>
          </cell>
          <cell r="F1991" t="str">
            <v>MARIBEL DEL CARMEN MAIGUAL MUÑOZ</v>
          </cell>
        </row>
        <row r="1992">
          <cell r="A1992">
            <v>45877</v>
          </cell>
          <cell r="B1992">
            <v>2025001542</v>
          </cell>
          <cell r="C1992" t="str">
            <v>539-2025</v>
          </cell>
          <cell r="D1992">
            <v>4825000</v>
          </cell>
          <cell r="E1992">
            <v>1085321578</v>
          </cell>
          <cell r="F1992" t="str">
            <v>CAROL  SUVANY HERRERA ERAZO</v>
          </cell>
        </row>
        <row r="1993">
          <cell r="A1993">
            <v>45880</v>
          </cell>
          <cell r="B1993">
            <v>2025001548</v>
          </cell>
          <cell r="C1993" t="str">
            <v>493-2025</v>
          </cell>
          <cell r="D1993">
            <v>7500000</v>
          </cell>
          <cell r="E1993">
            <v>1085293105</v>
          </cell>
          <cell r="F1993" t="str">
            <v>CAMILO JAVIER OÑATE BUCHELI</v>
          </cell>
        </row>
        <row r="1994">
          <cell r="A1994">
            <v>45880</v>
          </cell>
          <cell r="B1994">
            <v>2025001549</v>
          </cell>
          <cell r="C1994" t="str">
            <v>524-2025</v>
          </cell>
          <cell r="D1994">
            <v>7500000</v>
          </cell>
          <cell r="E1994">
            <v>1085336362</v>
          </cell>
          <cell r="F1994" t="str">
            <v>SOFIA ESMERALDA MEJIA ORTÍZ</v>
          </cell>
        </row>
        <row r="1995">
          <cell r="A1995">
            <v>45880</v>
          </cell>
          <cell r="B1995">
            <v>2025001550</v>
          </cell>
          <cell r="C1995" t="str">
            <v>477-2025</v>
          </cell>
          <cell r="D1995">
            <v>7500000</v>
          </cell>
          <cell r="E1995">
            <v>1006946167</v>
          </cell>
          <cell r="F1995" t="str">
            <v>LIZETH MARCELA ORTÌZ MUÑOZ</v>
          </cell>
        </row>
        <row r="1996">
          <cell r="A1996">
            <v>45880</v>
          </cell>
          <cell r="B1996">
            <v>2025001551</v>
          </cell>
          <cell r="C1996" t="str">
            <v>499-2025</v>
          </cell>
          <cell r="D1996">
            <v>3000000</v>
          </cell>
          <cell r="E1996">
            <v>1085317833</v>
          </cell>
          <cell r="F1996" t="str">
            <v>ANGIE VIVIANA SACANAMBUY PAZ</v>
          </cell>
        </row>
        <row r="1997">
          <cell r="A1997">
            <v>45881</v>
          </cell>
          <cell r="B1997">
            <v>2025001566</v>
          </cell>
          <cell r="C1997" t="str">
            <v>241-2025</v>
          </cell>
          <cell r="D1997">
            <v>3000000</v>
          </cell>
          <cell r="E1997">
            <v>36757213</v>
          </cell>
          <cell r="F1997" t="str">
            <v>MONICA DEL ROCIO ERAZO RUIZ</v>
          </cell>
        </row>
        <row r="1998">
          <cell r="A1998">
            <v>45882</v>
          </cell>
          <cell r="B1998">
            <v>2025001584</v>
          </cell>
          <cell r="C1998" t="str">
            <v>423-2025</v>
          </cell>
          <cell r="D1998">
            <v>4750000</v>
          </cell>
          <cell r="E1998">
            <v>59830379</v>
          </cell>
          <cell r="F1998" t="str">
            <v>ORTIZ BOTINA MARIANA DE JESUS</v>
          </cell>
        </row>
        <row r="1999">
          <cell r="A1999">
            <v>45883</v>
          </cell>
          <cell r="B1999">
            <v>2025001599</v>
          </cell>
          <cell r="C1999" t="str">
            <v>428-2025</v>
          </cell>
          <cell r="D1999">
            <v>3000000</v>
          </cell>
          <cell r="E1999">
            <v>1085272774</v>
          </cell>
          <cell r="F1999" t="str">
            <v>PAOLA ANDREA ROSAS MORA</v>
          </cell>
        </row>
        <row r="2000">
          <cell r="A2000">
            <v>45883</v>
          </cell>
          <cell r="B2000">
            <v>2025001606</v>
          </cell>
          <cell r="C2000" t="str">
            <v>441-2025</v>
          </cell>
          <cell r="D2000">
            <v>3000000</v>
          </cell>
          <cell r="E2000">
            <v>1085267505</v>
          </cell>
          <cell r="F2000" t="str">
            <v xml:space="preserve">MORILLO SANTACRUZ ANGELA MARIA   </v>
          </cell>
        </row>
        <row r="2001">
          <cell r="A2001">
            <v>45884</v>
          </cell>
          <cell r="B2001">
            <v>2025001624</v>
          </cell>
          <cell r="C2001" t="str">
            <v>444-2025</v>
          </cell>
          <cell r="D2001">
            <v>7500000</v>
          </cell>
          <cell r="E2001">
            <v>1085300619</v>
          </cell>
          <cell r="F2001" t="str">
            <v>BUITRAGO ALZATE JERSON ALBEIRO</v>
          </cell>
        </row>
        <row r="2002">
          <cell r="A2002">
            <v>45884</v>
          </cell>
          <cell r="B2002">
            <v>2025001625</v>
          </cell>
          <cell r="C2002" t="str">
            <v>427-2025</v>
          </cell>
          <cell r="D2002">
            <v>3000000</v>
          </cell>
          <cell r="E2002">
            <v>36950482</v>
          </cell>
          <cell r="F2002" t="str">
            <v>BOTINA VALLEJO SANDRA YANETH</v>
          </cell>
        </row>
        <row r="2003">
          <cell r="A2003">
            <v>45884</v>
          </cell>
          <cell r="B2003">
            <v>2025001627</v>
          </cell>
          <cell r="C2003" t="str">
            <v>455-2025</v>
          </cell>
          <cell r="D2003">
            <v>7500000</v>
          </cell>
          <cell r="E2003">
            <v>1006106084</v>
          </cell>
          <cell r="F2003" t="str">
            <v>JUAN ESTEBAN OBANDO ORDOÑEZ</v>
          </cell>
        </row>
        <row r="2004">
          <cell r="A2004">
            <v>45895</v>
          </cell>
          <cell r="B2004">
            <v>2025001717</v>
          </cell>
          <cell r="C2004" t="str">
            <v>434-2025</v>
          </cell>
          <cell r="D2004">
            <v>3000000</v>
          </cell>
          <cell r="E2004">
            <v>1080690249</v>
          </cell>
          <cell r="F2004" t="str">
            <v>YANCARLO YAMIT PUCHANA RAMOS</v>
          </cell>
        </row>
        <row r="2005">
          <cell r="A2005">
            <v>45895</v>
          </cell>
          <cell r="B2005">
            <v>2025001718</v>
          </cell>
          <cell r="C2005" t="str">
            <v>433-2025</v>
          </cell>
          <cell r="D2005">
            <v>3000000</v>
          </cell>
          <cell r="E2005">
            <v>36754382</v>
          </cell>
          <cell r="F2005" t="str">
            <v>TABLA ANDRADE OLIVA ESPERANZA</v>
          </cell>
        </row>
        <row r="2006">
          <cell r="A2006">
            <v>45895</v>
          </cell>
          <cell r="B2006">
            <v>2025001719</v>
          </cell>
          <cell r="C2006" t="str">
            <v>431-2025</v>
          </cell>
          <cell r="D2006">
            <v>3000000</v>
          </cell>
          <cell r="E2006">
            <v>1085257949</v>
          </cell>
          <cell r="F2006" t="str">
            <v>FANNY MIREYA LIMAS CUNDAR</v>
          </cell>
        </row>
        <row r="2007">
          <cell r="A2007">
            <v>45895</v>
          </cell>
          <cell r="B2007">
            <v>2025001722</v>
          </cell>
          <cell r="C2007" t="str">
            <v>418-2025</v>
          </cell>
          <cell r="D2007">
            <v>6000000</v>
          </cell>
          <cell r="E2007">
            <v>59311844</v>
          </cell>
          <cell r="F2007" t="str">
            <v>SANTACRUZ NARVAEZ KAREN GUISELA</v>
          </cell>
        </row>
        <row r="2008">
          <cell r="A2008">
            <v>45895</v>
          </cell>
          <cell r="B2008">
            <v>2025001727</v>
          </cell>
          <cell r="C2008" t="str">
            <v>430-2025</v>
          </cell>
          <cell r="D2008">
            <v>3000000</v>
          </cell>
          <cell r="E2008">
            <v>59835389</v>
          </cell>
          <cell r="F2008" t="str">
            <v>SANDRA PATRICIA GOMEZ SANCHEZ</v>
          </cell>
        </row>
        <row r="2009">
          <cell r="A2009">
            <v>45895</v>
          </cell>
          <cell r="B2009">
            <v>2025001732</v>
          </cell>
          <cell r="C2009" t="str">
            <v>448-2025</v>
          </cell>
          <cell r="D2009">
            <v>7500000</v>
          </cell>
          <cell r="E2009">
            <v>1085344794</v>
          </cell>
          <cell r="F2009" t="str">
            <v>IVAN ALEXANDER BEJARANO RAMIREZ</v>
          </cell>
        </row>
        <row r="2010">
          <cell r="A2010">
            <v>45896</v>
          </cell>
          <cell r="B2010">
            <v>2025001736</v>
          </cell>
          <cell r="C2010" t="str">
            <v>436-2025</v>
          </cell>
          <cell r="D2010">
            <v>3000000</v>
          </cell>
          <cell r="E2010">
            <v>1030606749</v>
          </cell>
          <cell r="F2010" t="str">
            <v>ANGELA EDITH GONZALEZ PIANDA</v>
          </cell>
        </row>
        <row r="2011">
          <cell r="A2011">
            <v>45896</v>
          </cell>
          <cell r="B2011">
            <v>2025001743</v>
          </cell>
          <cell r="C2011" t="str">
            <v>438-2025</v>
          </cell>
          <cell r="D2011">
            <v>3000000</v>
          </cell>
          <cell r="E2011">
            <v>59825382</v>
          </cell>
          <cell r="F2011" t="str">
            <v>USAMA TATICUAN LUZ EMILIA</v>
          </cell>
        </row>
        <row r="2012">
          <cell r="A2012">
            <v>45896</v>
          </cell>
          <cell r="B2012">
            <v>2025001744</v>
          </cell>
          <cell r="C2012" t="str">
            <v>440-2025</v>
          </cell>
          <cell r="D2012">
            <v>4825000</v>
          </cell>
          <cell r="E2012">
            <v>59835376</v>
          </cell>
          <cell r="F2012" t="str">
            <v>MONICA ALEXANDRA ORTIZ CABRERA</v>
          </cell>
        </row>
        <row r="2013">
          <cell r="A2013">
            <v>45896</v>
          </cell>
          <cell r="B2013">
            <v>2025001746</v>
          </cell>
          <cell r="C2013" t="str">
            <v>439-2025</v>
          </cell>
          <cell r="D2013">
            <v>7500000</v>
          </cell>
          <cell r="E2013">
            <v>1085937671</v>
          </cell>
          <cell r="F2013" t="str">
            <v>DIANA CAROLINA CORAL LOPEZ</v>
          </cell>
        </row>
        <row r="2014">
          <cell r="A2014">
            <v>45877</v>
          </cell>
          <cell r="B2014">
            <v>2025001536</v>
          </cell>
          <cell r="C2014" t="str">
            <v>518-2025</v>
          </cell>
          <cell r="D2014">
            <v>3000000</v>
          </cell>
          <cell r="E2014">
            <v>1137624011</v>
          </cell>
          <cell r="F2014" t="str">
            <v>KAROL DAYANA TONGUINO TORO</v>
          </cell>
        </row>
        <row r="2015">
          <cell r="A2015">
            <v>45877</v>
          </cell>
          <cell r="B2015">
            <v>2025001540</v>
          </cell>
          <cell r="C2015" t="str">
            <v>476-2025</v>
          </cell>
          <cell r="D2015">
            <v>4750000</v>
          </cell>
          <cell r="E2015">
            <v>36759759</v>
          </cell>
          <cell r="F2015" t="str">
            <v>LAUREN AZENITH CORAL SAMUDIO</v>
          </cell>
        </row>
        <row r="2016">
          <cell r="A2016">
            <v>45881</v>
          </cell>
          <cell r="B2016">
            <v>2025001554</v>
          </cell>
          <cell r="C2016" t="str">
            <v>537-2025</v>
          </cell>
          <cell r="D2016">
            <v>6000000</v>
          </cell>
          <cell r="E2016">
            <v>1085283868</v>
          </cell>
          <cell r="F2016" t="str">
            <v>JESSICA GRACE HERNANDEZ RIASCOS</v>
          </cell>
        </row>
        <row r="2017">
          <cell r="A2017">
            <v>45881</v>
          </cell>
          <cell r="B2017">
            <v>2025001555</v>
          </cell>
          <cell r="C2017" t="str">
            <v>517-2025</v>
          </cell>
          <cell r="D2017">
            <v>3000000</v>
          </cell>
          <cell r="E2017">
            <v>98382500</v>
          </cell>
          <cell r="F2017" t="str">
            <v>JOSE JAVIER PINTA YAQUENO</v>
          </cell>
        </row>
        <row r="2018">
          <cell r="A2018">
            <v>45881</v>
          </cell>
          <cell r="B2018">
            <v>2025001556</v>
          </cell>
          <cell r="C2018" t="str">
            <v>513-2025</v>
          </cell>
          <cell r="D2018">
            <v>3000000</v>
          </cell>
          <cell r="E2018">
            <v>59834953</v>
          </cell>
          <cell r="F2018" t="str">
            <v>PATRICIA YOLANDA PAZ  DELGADO</v>
          </cell>
        </row>
        <row r="2019">
          <cell r="A2019">
            <v>45881</v>
          </cell>
          <cell r="B2019">
            <v>2025001557</v>
          </cell>
          <cell r="C2019" t="str">
            <v>516-2025</v>
          </cell>
          <cell r="D2019">
            <v>3000000</v>
          </cell>
          <cell r="E2019">
            <v>1010082397</v>
          </cell>
          <cell r="F2019" t="str">
            <v>JAQUELINE CAMILA GENOY VILLOTA</v>
          </cell>
        </row>
        <row r="2020">
          <cell r="A2020">
            <v>45881</v>
          </cell>
          <cell r="B2020">
            <v>2025001558</v>
          </cell>
          <cell r="C2020" t="str">
            <v>495-2025</v>
          </cell>
          <cell r="D2020">
            <v>3000000</v>
          </cell>
          <cell r="E2020">
            <v>36954407</v>
          </cell>
          <cell r="F2020" t="str">
            <v>PAOLA VIVIANA HIDALGO MARCILLO</v>
          </cell>
        </row>
        <row r="2021">
          <cell r="A2021">
            <v>45881</v>
          </cell>
          <cell r="B2021">
            <v>2025001559</v>
          </cell>
          <cell r="C2021" t="str">
            <v>536-2025</v>
          </cell>
          <cell r="D2021">
            <v>4825000</v>
          </cell>
          <cell r="E2021">
            <v>1080900817</v>
          </cell>
          <cell r="F2021" t="str">
            <v>CLARA INES APRAEZ GOMEZ</v>
          </cell>
        </row>
        <row r="2022">
          <cell r="A2022">
            <v>45881</v>
          </cell>
          <cell r="B2022">
            <v>2025001560</v>
          </cell>
          <cell r="C2022" t="str">
            <v>521-2025</v>
          </cell>
          <cell r="D2022">
            <v>6000000</v>
          </cell>
          <cell r="E2022">
            <v>59837608</v>
          </cell>
          <cell r="F2022" t="str">
            <v>ALBA DENIS ARGOTY SANTACRUZ</v>
          </cell>
        </row>
        <row r="2023">
          <cell r="A2023">
            <v>45881</v>
          </cell>
          <cell r="B2023">
            <v>2025001561</v>
          </cell>
          <cell r="C2023" t="str">
            <v>509-2025</v>
          </cell>
          <cell r="D2023">
            <v>4825000</v>
          </cell>
          <cell r="E2023">
            <v>1085269530</v>
          </cell>
          <cell r="F2023" t="str">
            <v xml:space="preserve">CLARA MARIA ACOSTA </v>
          </cell>
        </row>
        <row r="2024">
          <cell r="A2024">
            <v>45881</v>
          </cell>
          <cell r="B2024">
            <v>2025001562</v>
          </cell>
          <cell r="C2024" t="str">
            <v>472-2025</v>
          </cell>
          <cell r="D2024">
            <v>3000000</v>
          </cell>
          <cell r="E2024">
            <v>1085255829</v>
          </cell>
          <cell r="F2024" t="str">
            <v xml:space="preserve">JOHANA KATERINE GONZALEZ </v>
          </cell>
        </row>
        <row r="2025">
          <cell r="A2025">
            <v>45881</v>
          </cell>
          <cell r="B2025">
            <v>2025001563</v>
          </cell>
          <cell r="C2025" t="str">
            <v>489-2025</v>
          </cell>
          <cell r="D2025">
            <v>3000000</v>
          </cell>
          <cell r="E2025">
            <v>1193224810</v>
          </cell>
          <cell r="F2025" t="str">
            <v>EVELYN  FERNANDA ACOSTA CHICAIZA</v>
          </cell>
        </row>
        <row r="2026">
          <cell r="A2026">
            <v>45881</v>
          </cell>
          <cell r="B2026">
            <v>2025001564</v>
          </cell>
          <cell r="C2026" t="str">
            <v>465-2025</v>
          </cell>
          <cell r="D2026">
            <v>4750000</v>
          </cell>
          <cell r="E2026">
            <v>1085340885</v>
          </cell>
          <cell r="F2026" t="str">
            <v>JAVIER FERNANDO CHILANGUAD CABRERA</v>
          </cell>
        </row>
        <row r="2027">
          <cell r="A2027">
            <v>45881</v>
          </cell>
          <cell r="B2027">
            <v>2025001565</v>
          </cell>
          <cell r="C2027" t="str">
            <v>478-2025</v>
          </cell>
          <cell r="D2027">
            <v>2500000</v>
          </cell>
          <cell r="E2027">
            <v>12974849</v>
          </cell>
          <cell r="F2027" t="str">
            <v>PABLO ERNESTO RIOBAMBA IPIALES</v>
          </cell>
        </row>
        <row r="2028">
          <cell r="A2028">
            <v>45881</v>
          </cell>
          <cell r="B2028">
            <v>2025001567</v>
          </cell>
          <cell r="C2028" t="str">
            <v>527-2025</v>
          </cell>
          <cell r="D2028">
            <v>4750000</v>
          </cell>
          <cell r="E2028">
            <v>27087475</v>
          </cell>
          <cell r="F2028" t="str">
            <v>JANETH EMILSE DIAZ  ARCINIEGAS</v>
          </cell>
        </row>
        <row r="2029">
          <cell r="A2029">
            <v>45881</v>
          </cell>
          <cell r="B2029">
            <v>2025001569</v>
          </cell>
          <cell r="C2029" t="str">
            <v>480-2025</v>
          </cell>
          <cell r="D2029">
            <v>3000000</v>
          </cell>
          <cell r="E2029">
            <v>1233191675</v>
          </cell>
          <cell r="F2029" t="str">
            <v>NATHALY STEPHANIE MARTINEZ MARTINEZ</v>
          </cell>
        </row>
        <row r="2030">
          <cell r="A2030">
            <v>45881</v>
          </cell>
          <cell r="B2030">
            <v>2025001570</v>
          </cell>
          <cell r="C2030" t="str">
            <v>482-2025</v>
          </cell>
          <cell r="D2030">
            <v>3000000</v>
          </cell>
          <cell r="E2030">
            <v>37084285</v>
          </cell>
          <cell r="F2030" t="str">
            <v>JULIE ANDREA FREIRE MIER</v>
          </cell>
        </row>
        <row r="2031">
          <cell r="A2031">
            <v>45881</v>
          </cell>
          <cell r="B2031">
            <v>2025001572</v>
          </cell>
          <cell r="C2031" t="str">
            <v>483-2025</v>
          </cell>
          <cell r="D2031">
            <v>3000000</v>
          </cell>
          <cell r="E2031">
            <v>1085271641</v>
          </cell>
          <cell r="F2031" t="str">
            <v>LISSETH MARISOL CUASTUMAL  CASTRO</v>
          </cell>
        </row>
        <row r="2032">
          <cell r="A2032">
            <v>45881</v>
          </cell>
          <cell r="B2032">
            <v>2025001574</v>
          </cell>
          <cell r="C2032" t="str">
            <v>573-2025</v>
          </cell>
          <cell r="D2032">
            <v>3000000</v>
          </cell>
          <cell r="E2032">
            <v>1004535234</v>
          </cell>
          <cell r="F2032" t="str">
            <v>BRIGIT ESNIT GARCIA MANCHABAJOY</v>
          </cell>
        </row>
        <row r="2033">
          <cell r="A2033">
            <v>45883</v>
          </cell>
          <cell r="B2033">
            <v>2025001597</v>
          </cell>
          <cell r="C2033" t="str">
            <v>568-2025</v>
          </cell>
          <cell r="D2033">
            <v>3000000</v>
          </cell>
          <cell r="E2033">
            <v>1192717330</v>
          </cell>
          <cell r="F2033" t="str">
            <v>CRISTIAN FABIAN CRIOLLO RIVERA</v>
          </cell>
        </row>
        <row r="2034">
          <cell r="A2034">
            <v>45883</v>
          </cell>
          <cell r="B2034">
            <v>2025001600</v>
          </cell>
          <cell r="C2034" t="str">
            <v>572-2025</v>
          </cell>
          <cell r="D2034">
            <v>6000000</v>
          </cell>
          <cell r="E2034">
            <v>1085275879</v>
          </cell>
          <cell r="F2034" t="str">
            <v>DANIELA FERNANDA ERASO VALENCIA</v>
          </cell>
        </row>
        <row r="2035">
          <cell r="A2035">
            <v>45883</v>
          </cell>
          <cell r="B2035">
            <v>2025001601</v>
          </cell>
          <cell r="C2035" t="str">
            <v>552-2025</v>
          </cell>
          <cell r="D2035">
            <v>3000000</v>
          </cell>
          <cell r="E2035">
            <v>1085269090</v>
          </cell>
          <cell r="F2035" t="str">
            <v>FHALOM CAROLINA ROSERO TORRES</v>
          </cell>
        </row>
        <row r="2036">
          <cell r="A2036">
            <v>45883</v>
          </cell>
          <cell r="B2036">
            <v>2025001602</v>
          </cell>
          <cell r="C2036" t="str">
            <v>504-2025</v>
          </cell>
          <cell r="D2036">
            <v>6000000</v>
          </cell>
          <cell r="E2036">
            <v>1014212900</v>
          </cell>
          <cell r="F2036" t="str">
            <v>LADY CAROLINA TIBAQUIRA BALLESTEROS</v>
          </cell>
        </row>
        <row r="2037">
          <cell r="A2037">
            <v>45883</v>
          </cell>
          <cell r="B2037">
            <v>2025001603</v>
          </cell>
          <cell r="C2037" t="str">
            <v>592-2025</v>
          </cell>
          <cell r="D2037">
            <v>3000000</v>
          </cell>
          <cell r="E2037">
            <v>37082232</v>
          </cell>
          <cell r="F2037" t="str">
            <v>ZAMBRANO ONOFRE MYRIAM ADRIANA</v>
          </cell>
        </row>
        <row r="2038">
          <cell r="A2038">
            <v>45883</v>
          </cell>
          <cell r="B2038">
            <v>2025001604</v>
          </cell>
          <cell r="C2038" t="str">
            <v>606-2025</v>
          </cell>
          <cell r="D2038">
            <v>3000000</v>
          </cell>
          <cell r="E2038">
            <v>1004743217</v>
          </cell>
          <cell r="F2038" t="str">
            <v>JEFFERSON RIGO LEITON RODRIGUEZ</v>
          </cell>
        </row>
        <row r="2039">
          <cell r="A2039">
            <v>45883</v>
          </cell>
          <cell r="B2039">
            <v>2025001605</v>
          </cell>
          <cell r="C2039" t="str">
            <v>565-2025</v>
          </cell>
          <cell r="D2039">
            <v>3000000</v>
          </cell>
          <cell r="E2039">
            <v>1085326791</v>
          </cell>
          <cell r="F2039" t="str">
            <v>EDIER ERNEY CORDOBA ROJAS</v>
          </cell>
        </row>
        <row r="2040">
          <cell r="A2040">
            <v>45883</v>
          </cell>
          <cell r="B2040">
            <v>2025001607</v>
          </cell>
          <cell r="C2040" t="str">
            <v>498-2025</v>
          </cell>
          <cell r="D2040">
            <v>3000000</v>
          </cell>
          <cell r="E2040">
            <v>1081272025</v>
          </cell>
          <cell r="F2040" t="str">
            <v>ANGIE GABRIELA ENRIQUEZ TACAN</v>
          </cell>
        </row>
        <row r="2041">
          <cell r="A2041">
            <v>45883</v>
          </cell>
          <cell r="B2041">
            <v>2025001608</v>
          </cell>
          <cell r="C2041" t="str">
            <v>442-2025</v>
          </cell>
          <cell r="D2041">
            <v>6000000</v>
          </cell>
          <cell r="E2041">
            <v>1085340697</v>
          </cell>
          <cell r="F2041" t="str">
            <v>ANA GLAIR ESTRADA CASTILLO</v>
          </cell>
        </row>
        <row r="2042">
          <cell r="A2042">
            <v>45884</v>
          </cell>
          <cell r="B2042">
            <v>2025001619</v>
          </cell>
          <cell r="C2042" t="str">
            <v>575-2025</v>
          </cell>
          <cell r="D2042">
            <v>3000000</v>
          </cell>
          <cell r="E2042">
            <v>1085315013</v>
          </cell>
          <cell r="F2042" t="str">
            <v>ANA ALEJANDRA SALAZAR  RAMIREZ</v>
          </cell>
        </row>
        <row r="2043">
          <cell r="A2043">
            <v>45884</v>
          </cell>
          <cell r="B2043">
            <v>2025001620</v>
          </cell>
          <cell r="C2043" t="str">
            <v>607-2025</v>
          </cell>
          <cell r="D2043">
            <v>3000000</v>
          </cell>
          <cell r="E2043">
            <v>1086363186</v>
          </cell>
          <cell r="F2043" t="str">
            <v>JERSON LEODAN LEITON TORO</v>
          </cell>
        </row>
        <row r="2044">
          <cell r="A2044">
            <v>45884</v>
          </cell>
          <cell r="B2044">
            <v>2025001623</v>
          </cell>
          <cell r="C2044" t="str">
            <v>462-2025</v>
          </cell>
          <cell r="D2044">
            <v>2500000</v>
          </cell>
          <cell r="E2044">
            <v>1075242334</v>
          </cell>
          <cell r="F2044" t="str">
            <v>ALEXANDRA  GONZALEZ HORTA</v>
          </cell>
        </row>
        <row r="2045">
          <cell r="A2045">
            <v>45884</v>
          </cell>
          <cell r="B2045">
            <v>2025001626</v>
          </cell>
          <cell r="C2045" t="str">
            <v>500-2025</v>
          </cell>
          <cell r="D2045">
            <v>3000000</v>
          </cell>
          <cell r="E2045">
            <v>1087006717</v>
          </cell>
          <cell r="F2045" t="str">
            <v>MIRYAM  ELIZABETH POPAYAN PASCUAZA</v>
          </cell>
        </row>
        <row r="2046">
          <cell r="A2046">
            <v>45888</v>
          </cell>
          <cell r="B2046">
            <v>2025001634</v>
          </cell>
          <cell r="C2046" t="str">
            <v>514-2025</v>
          </cell>
          <cell r="D2046">
            <v>3000000</v>
          </cell>
          <cell r="E2046">
            <v>1085339190</v>
          </cell>
          <cell r="F2046" t="str">
            <v>KELLY YURANY JOJOA BOTINA</v>
          </cell>
        </row>
        <row r="2047">
          <cell r="A2047">
            <v>45894</v>
          </cell>
          <cell r="B2047">
            <v>2025001662</v>
          </cell>
          <cell r="C2047" t="str">
            <v>501-2025</v>
          </cell>
          <cell r="D2047">
            <v>35977830</v>
          </cell>
          <cell r="E2047">
            <v>900994364</v>
          </cell>
          <cell r="F2047" t="str">
            <v>FUNDACIÓN CALIDAD DE VIDA Y ESPERANZA</v>
          </cell>
        </row>
        <row r="2048">
          <cell r="A2048">
            <v>45895</v>
          </cell>
          <cell r="B2048">
            <v>2025001720</v>
          </cell>
          <cell r="C2048" t="str">
            <v>443-2025</v>
          </cell>
          <cell r="D2048">
            <v>6000000</v>
          </cell>
          <cell r="E2048">
            <v>1085303585</v>
          </cell>
          <cell r="F2048" t="str">
            <v>MARIA ISABEL VELASCOS ROSERO</v>
          </cell>
        </row>
        <row r="2049">
          <cell r="A2049">
            <v>45895</v>
          </cell>
          <cell r="B2049">
            <v>2025001721</v>
          </cell>
          <cell r="C2049" t="str">
            <v>502-2025</v>
          </cell>
          <cell r="D2049">
            <v>3000000</v>
          </cell>
          <cell r="E2049">
            <v>1085286742</v>
          </cell>
          <cell r="F2049" t="str">
            <v>VANESSA KATHERINE JOJOA ARIAS</v>
          </cell>
        </row>
        <row r="2050">
          <cell r="A2050">
            <v>45895</v>
          </cell>
          <cell r="B2050">
            <v>2025001725</v>
          </cell>
          <cell r="C2050" t="str">
            <v>541-2025</v>
          </cell>
          <cell r="D2050">
            <v>6000000</v>
          </cell>
          <cell r="E2050">
            <v>97470681</v>
          </cell>
          <cell r="F2050" t="str">
            <v>FERNANDO TEOFILO ROSERO PATIÑO</v>
          </cell>
        </row>
        <row r="2051">
          <cell r="A2051">
            <v>45895</v>
          </cell>
          <cell r="B2051">
            <v>2025001726</v>
          </cell>
          <cell r="C2051" t="str">
            <v>463-2025</v>
          </cell>
          <cell r="D2051">
            <v>6000000</v>
          </cell>
          <cell r="E2051">
            <v>36757221</v>
          </cell>
          <cell r="F2051" t="str">
            <v>FANNY MARIELA CORDOBA MORENO</v>
          </cell>
        </row>
        <row r="2052">
          <cell r="A2052">
            <v>45895</v>
          </cell>
          <cell r="B2052">
            <v>2025001728</v>
          </cell>
          <cell r="C2052" t="str">
            <v>450-2025</v>
          </cell>
          <cell r="D2052">
            <v>4750000</v>
          </cell>
          <cell r="E2052">
            <v>1085330309</v>
          </cell>
          <cell r="F2052" t="str">
            <v>LEYDI GISELLA BENAVIDES LÒPEZ</v>
          </cell>
        </row>
        <row r="2053">
          <cell r="A2053">
            <v>45895</v>
          </cell>
          <cell r="B2053">
            <v>2025001729</v>
          </cell>
          <cell r="C2053" t="str">
            <v>550-2025</v>
          </cell>
          <cell r="D2053">
            <v>3000000</v>
          </cell>
          <cell r="E2053">
            <v>1081572043</v>
          </cell>
          <cell r="F2053" t="str">
            <v>TATIANA  ANDREA CRIOLLO GENOY</v>
          </cell>
        </row>
        <row r="2054">
          <cell r="A2054">
            <v>45895</v>
          </cell>
          <cell r="B2054">
            <v>2025001730</v>
          </cell>
          <cell r="C2054" t="str">
            <v>453-2025</v>
          </cell>
          <cell r="D2054">
            <v>4750000</v>
          </cell>
          <cell r="E2054">
            <v>1085343783</v>
          </cell>
          <cell r="F2054" t="str">
            <v>DANIELA ALEXANDRA DIAZ GUERRERO</v>
          </cell>
        </row>
        <row r="2055">
          <cell r="A2055">
            <v>45895</v>
          </cell>
          <cell r="B2055">
            <v>2025001731</v>
          </cell>
          <cell r="C2055" t="str">
            <v>545-2025</v>
          </cell>
          <cell r="D2055">
            <v>6000000</v>
          </cell>
          <cell r="E2055">
            <v>59820414</v>
          </cell>
          <cell r="F2055" t="str">
            <v>CARMEN PATRICIA CORDOBA ARTEAGA</v>
          </cell>
        </row>
        <row r="2056">
          <cell r="A2056">
            <v>45895</v>
          </cell>
          <cell r="B2056">
            <v>2025001733</v>
          </cell>
          <cell r="C2056" t="str">
            <v>533-2025</v>
          </cell>
          <cell r="D2056">
            <v>2500000</v>
          </cell>
          <cell r="E2056">
            <v>1085304072</v>
          </cell>
          <cell r="F2056" t="str">
            <v>MARGARITA ANDREA BENAVIDES NASPIRAN</v>
          </cell>
        </row>
        <row r="2057">
          <cell r="A2057">
            <v>45895</v>
          </cell>
          <cell r="B2057">
            <v>2025001734</v>
          </cell>
          <cell r="C2057" t="str">
            <v>540-2025</v>
          </cell>
          <cell r="D2057">
            <v>4750000</v>
          </cell>
          <cell r="E2057">
            <v>1018492767</v>
          </cell>
          <cell r="F2057" t="str">
            <v>LAURA CATALINA MUÑOZ LUNA</v>
          </cell>
        </row>
        <row r="2058">
          <cell r="A2058">
            <v>45895</v>
          </cell>
          <cell r="B2058">
            <v>2025001735</v>
          </cell>
          <cell r="C2058" t="str">
            <v>576-2025</v>
          </cell>
          <cell r="D2058">
            <v>2500000</v>
          </cell>
          <cell r="E2058">
            <v>1233188479</v>
          </cell>
          <cell r="F2058" t="str">
            <v>HAROLD CAMILO QUINTERO  GUEVARA</v>
          </cell>
        </row>
        <row r="2059">
          <cell r="A2059">
            <v>45896</v>
          </cell>
          <cell r="B2059">
            <v>2025001737</v>
          </cell>
          <cell r="C2059" t="str">
            <v>608-2025</v>
          </cell>
          <cell r="D2059">
            <v>3000000</v>
          </cell>
          <cell r="E2059">
            <v>1085274630</v>
          </cell>
          <cell r="F2059" t="str">
            <v>CARLOS EDUARDO BASTIDAS OBANDO</v>
          </cell>
        </row>
        <row r="2060">
          <cell r="A2060">
            <v>45896</v>
          </cell>
          <cell r="B2060">
            <v>2025001738</v>
          </cell>
          <cell r="C2060" t="str">
            <v>605-2025</v>
          </cell>
          <cell r="D2060">
            <v>3000000</v>
          </cell>
          <cell r="E2060">
            <v>59706564</v>
          </cell>
          <cell r="F2060" t="str">
            <v>DOLLY DIGNA DAVILA</v>
          </cell>
        </row>
        <row r="2061">
          <cell r="A2061">
            <v>45896</v>
          </cell>
          <cell r="B2061">
            <v>2025001739</v>
          </cell>
          <cell r="C2061" t="str">
            <v>615-2025</v>
          </cell>
          <cell r="D2061">
            <v>3000000</v>
          </cell>
          <cell r="E2061">
            <v>1085314608</v>
          </cell>
          <cell r="F2061" t="str">
            <v>JULIET ELIANA MORENO LOPEZ</v>
          </cell>
        </row>
        <row r="2062">
          <cell r="A2062">
            <v>45896</v>
          </cell>
          <cell r="B2062">
            <v>2025001740</v>
          </cell>
          <cell r="C2062" t="str">
            <v>594-2025</v>
          </cell>
          <cell r="D2062">
            <v>3000000</v>
          </cell>
          <cell r="E2062">
            <v>1086329609</v>
          </cell>
          <cell r="F2062" t="str">
            <v>LORENA DEL CARMEN  OJEDA VAZQUEZ</v>
          </cell>
        </row>
        <row r="2063">
          <cell r="A2063">
            <v>45896</v>
          </cell>
          <cell r="B2063">
            <v>2025001741</v>
          </cell>
          <cell r="C2063" t="str">
            <v>557-2025</v>
          </cell>
          <cell r="D2063">
            <v>6000000</v>
          </cell>
          <cell r="E2063">
            <v>1085299577</v>
          </cell>
          <cell r="F2063" t="str">
            <v>DIANA MARCELA RODRIGUEZ MORA</v>
          </cell>
        </row>
        <row r="2064">
          <cell r="A2064">
            <v>45896</v>
          </cell>
          <cell r="B2064">
            <v>2025001742</v>
          </cell>
          <cell r="C2064" t="str">
            <v>466-2025</v>
          </cell>
          <cell r="D2064">
            <v>4825000</v>
          </cell>
          <cell r="E2064">
            <v>1085324891</v>
          </cell>
          <cell r="F2064" t="str">
            <v>NICOLAS ALEJANDRO ROSERO MORILLO</v>
          </cell>
        </row>
        <row r="2065">
          <cell r="A2065">
            <v>45896</v>
          </cell>
          <cell r="B2065">
            <v>2025001747</v>
          </cell>
          <cell r="C2065" t="str">
            <v>515-2025</v>
          </cell>
          <cell r="D2065">
            <v>7500000</v>
          </cell>
          <cell r="E2065">
            <v>1193202097</v>
          </cell>
          <cell r="F2065" t="str">
            <v>VERONICA SOFIA HUERTAS ARCINIEGAS</v>
          </cell>
        </row>
        <row r="2066">
          <cell r="A2066">
            <v>45896</v>
          </cell>
          <cell r="B2066">
            <v>2025001747</v>
          </cell>
          <cell r="C2066" t="str">
            <v>515-2025</v>
          </cell>
          <cell r="D2066">
            <v>7500000</v>
          </cell>
          <cell r="E2066">
            <v>1193202097</v>
          </cell>
          <cell r="F2066" t="str">
            <v>VERONICA SOFIA HUERTAS ARCINIEGAS</v>
          </cell>
        </row>
        <row r="2067">
          <cell r="A2067">
            <v>45902</v>
          </cell>
          <cell r="B2067">
            <v>2025001763</v>
          </cell>
          <cell r="C2067" t="str">
            <v>454-2025</v>
          </cell>
          <cell r="D2067">
            <v>7500000</v>
          </cell>
          <cell r="E2067">
            <v>80765093</v>
          </cell>
          <cell r="F2067" t="str">
            <v>FRANCISCO  RAFAEL ORTÍZ BENÌTEZ</v>
          </cell>
        </row>
        <row r="2068">
          <cell r="A2068">
            <v>45902</v>
          </cell>
          <cell r="B2068">
            <v>2025001765</v>
          </cell>
          <cell r="C2068" t="str">
            <v>497-2025</v>
          </cell>
          <cell r="D2068">
            <v>3000000</v>
          </cell>
          <cell r="E2068">
            <v>1085286725</v>
          </cell>
          <cell r="F2068" t="str">
            <v>DIANA CAROLINA ORTEGA CAICEDO</v>
          </cell>
        </row>
        <row r="2069">
          <cell r="A2069">
            <v>45902</v>
          </cell>
          <cell r="B2069">
            <v>2025001766</v>
          </cell>
          <cell r="C2069" t="str">
            <v>503-2025</v>
          </cell>
          <cell r="D2069">
            <v>3000000</v>
          </cell>
          <cell r="E2069">
            <v>27388522</v>
          </cell>
          <cell r="F2069" t="str">
            <v>NUVI GRACIELA CHAMORRO CORAL</v>
          </cell>
        </row>
        <row r="2070">
          <cell r="A2070">
            <v>45904</v>
          </cell>
          <cell r="B2070">
            <v>2025001797</v>
          </cell>
          <cell r="C2070" t="str">
            <v>480-2025</v>
          </cell>
          <cell r="D2070">
            <v>3000000</v>
          </cell>
          <cell r="E2070">
            <v>1233191675</v>
          </cell>
          <cell r="F2070" t="str">
            <v>NATHALY STEPHANIE MARTINEZ MARTINEZ</v>
          </cell>
        </row>
        <row r="2071">
          <cell r="A2071">
            <v>45904</v>
          </cell>
          <cell r="B2071">
            <v>2025001803</v>
          </cell>
          <cell r="C2071" t="str">
            <v>478-2025</v>
          </cell>
          <cell r="D2071">
            <v>2500000</v>
          </cell>
          <cell r="E2071">
            <v>12974849</v>
          </cell>
          <cell r="F2071" t="str">
            <v>PABLO ERNESTO RIOBAMBA IPIALES</v>
          </cell>
        </row>
        <row r="2072">
          <cell r="A2072">
            <v>45904</v>
          </cell>
          <cell r="B2072">
            <v>2025001805</v>
          </cell>
          <cell r="C2072" t="str">
            <v>536-2025</v>
          </cell>
          <cell r="D2072">
            <v>4825000</v>
          </cell>
          <cell r="E2072">
            <v>1080900817</v>
          </cell>
          <cell r="F2072" t="str">
            <v>CLARA INES APRAEZ GOMEZ</v>
          </cell>
        </row>
        <row r="2073">
          <cell r="A2073">
            <v>45904</v>
          </cell>
          <cell r="B2073">
            <v>2025001811</v>
          </cell>
          <cell r="C2073" t="str">
            <v>489-2025</v>
          </cell>
          <cell r="D2073">
            <v>3000000</v>
          </cell>
          <cell r="E2073">
            <v>1193224810</v>
          </cell>
          <cell r="F2073" t="str">
            <v>EVELYN  FERNANDA ACOSTA CHICAIZA</v>
          </cell>
        </row>
        <row r="2074">
          <cell r="A2074">
            <v>45904</v>
          </cell>
          <cell r="B2074">
            <v>2025001812</v>
          </cell>
          <cell r="C2074" t="str">
            <v>477-2025</v>
          </cell>
          <cell r="D2074">
            <v>7500000</v>
          </cell>
          <cell r="E2074">
            <v>1006946167</v>
          </cell>
          <cell r="F2074" t="str">
            <v>LIZETH MARCELA ORTÌZ MUÑOZ</v>
          </cell>
        </row>
        <row r="2075">
          <cell r="A2075">
            <v>45904</v>
          </cell>
          <cell r="B2075">
            <v>2025001813</v>
          </cell>
          <cell r="C2075" t="str">
            <v>472-2025</v>
          </cell>
          <cell r="D2075">
            <v>3000000</v>
          </cell>
          <cell r="E2075">
            <v>1085255829</v>
          </cell>
          <cell r="F2075" t="str">
            <v xml:space="preserve">JOHANA KATERINE GONZALEZ </v>
          </cell>
        </row>
        <row r="2076">
          <cell r="A2076">
            <v>45904</v>
          </cell>
          <cell r="B2076">
            <v>2025001814</v>
          </cell>
          <cell r="C2076" t="str">
            <v>465-2025</v>
          </cell>
          <cell r="D2076">
            <v>4750000</v>
          </cell>
          <cell r="E2076">
            <v>1085340885</v>
          </cell>
          <cell r="F2076" t="str">
            <v>JAVIER FERNANDO CHILANGUAD CABRERA</v>
          </cell>
        </row>
        <row r="2077">
          <cell r="A2077">
            <v>45908</v>
          </cell>
          <cell r="B2077">
            <v>2025001828</v>
          </cell>
          <cell r="C2077" t="str">
            <v>457-2025</v>
          </cell>
          <cell r="D2077">
            <v>2500000</v>
          </cell>
          <cell r="E2077">
            <v>1085255753</v>
          </cell>
          <cell r="F2077" t="str">
            <v>MAGDA YAMILE MIDEROS MUÐOZ</v>
          </cell>
        </row>
        <row r="2078">
          <cell r="A2078">
            <v>45908</v>
          </cell>
          <cell r="B2078">
            <v>2025001829</v>
          </cell>
          <cell r="C2078" t="str">
            <v>537-2025</v>
          </cell>
          <cell r="D2078">
            <v>6000000</v>
          </cell>
          <cell r="E2078">
            <v>1085283868</v>
          </cell>
          <cell r="F2078" t="str">
            <v>JESSICA GRACE HERNANDEZ RIASCOS</v>
          </cell>
        </row>
        <row r="2079">
          <cell r="A2079">
            <v>45908</v>
          </cell>
          <cell r="B2079">
            <v>2025001830</v>
          </cell>
          <cell r="C2079" t="str">
            <v>520-2025</v>
          </cell>
          <cell r="D2079">
            <v>4750000</v>
          </cell>
          <cell r="E2079">
            <v>36953206</v>
          </cell>
          <cell r="F2079" t="str">
            <v>NATALIA ANDREA LATORRE RUANO</v>
          </cell>
        </row>
        <row r="2080">
          <cell r="A2080">
            <v>45908</v>
          </cell>
          <cell r="B2080">
            <v>2025001840</v>
          </cell>
          <cell r="C2080" t="str">
            <v>233-2025</v>
          </cell>
          <cell r="D2080">
            <v>6000000</v>
          </cell>
          <cell r="E2080">
            <v>1085248939</v>
          </cell>
          <cell r="F2080" t="str">
            <v>CARMEN LILIANA ARMERO RUIZ</v>
          </cell>
        </row>
        <row r="2081">
          <cell r="A2081">
            <v>45908</v>
          </cell>
          <cell r="B2081">
            <v>2025001841</v>
          </cell>
          <cell r="C2081" t="str">
            <v>432-2025</v>
          </cell>
          <cell r="D2081">
            <v>1900000</v>
          </cell>
          <cell r="E2081">
            <v>5292370</v>
          </cell>
          <cell r="F2081" t="str">
            <v>CARLOS ADRIAN MEDINA GUERRERO</v>
          </cell>
        </row>
        <row r="2082">
          <cell r="A2082">
            <v>45908</v>
          </cell>
          <cell r="B2082">
            <v>2025001842</v>
          </cell>
          <cell r="C2082" t="str">
            <v>446-2025</v>
          </cell>
          <cell r="D2082">
            <v>4750000</v>
          </cell>
          <cell r="E2082">
            <v>1087414586</v>
          </cell>
          <cell r="F2082" t="str">
            <v>YULY MARCELA MORALES LOPEZ</v>
          </cell>
        </row>
        <row r="2083">
          <cell r="A2083">
            <v>45908</v>
          </cell>
          <cell r="B2083">
            <v>2025001843</v>
          </cell>
          <cell r="C2083" t="str">
            <v>547-2025</v>
          </cell>
          <cell r="D2083">
            <v>7500000</v>
          </cell>
          <cell r="E2083">
            <v>37087120</v>
          </cell>
          <cell r="F2083" t="str">
            <v>JOHANA CAROLINA CAICEDO GOYES</v>
          </cell>
        </row>
        <row r="2084">
          <cell r="A2084">
            <v>45908</v>
          </cell>
          <cell r="B2084">
            <v>2025001844</v>
          </cell>
          <cell r="C2084" t="str">
            <v>496-2025</v>
          </cell>
          <cell r="D2084">
            <v>6000000</v>
          </cell>
          <cell r="E2084">
            <v>59825948</v>
          </cell>
          <cell r="F2084" t="str">
            <v>CALVACHE MARTINEZ CLAUDIA LUCY</v>
          </cell>
        </row>
        <row r="2085">
          <cell r="A2085">
            <v>45908</v>
          </cell>
          <cell r="B2085">
            <v>2025001845</v>
          </cell>
          <cell r="C2085" t="str">
            <v>461-2025</v>
          </cell>
          <cell r="D2085">
            <v>4825000</v>
          </cell>
          <cell r="E2085">
            <v>1085338534</v>
          </cell>
          <cell r="F2085" t="str">
            <v>ANA VICTORIA ORTEGA GOMEZ</v>
          </cell>
        </row>
        <row r="2086">
          <cell r="A2086">
            <v>45908</v>
          </cell>
          <cell r="B2086">
            <v>2025001846</v>
          </cell>
          <cell r="C2086" t="str">
            <v>554-2025</v>
          </cell>
          <cell r="D2086">
            <v>2500000</v>
          </cell>
          <cell r="E2086">
            <v>1085347173</v>
          </cell>
          <cell r="F2086" t="str">
            <v>JEISSON STEVEN BASANTE ERAZO</v>
          </cell>
        </row>
        <row r="2087">
          <cell r="A2087">
            <v>45908</v>
          </cell>
          <cell r="B2087">
            <v>2025001847</v>
          </cell>
          <cell r="C2087" t="str">
            <v>535-2025</v>
          </cell>
          <cell r="D2087">
            <v>6000000</v>
          </cell>
          <cell r="E2087">
            <v>59836480</v>
          </cell>
          <cell r="F2087" t="str">
            <v>OLIVA ORTIZ LILIANA ANDREA</v>
          </cell>
        </row>
        <row r="2088">
          <cell r="A2088">
            <v>45909</v>
          </cell>
          <cell r="B2088">
            <v>2025001854</v>
          </cell>
          <cell r="C2088" t="str">
            <v>635-2025</v>
          </cell>
          <cell r="D2088">
            <v>169523066</v>
          </cell>
          <cell r="E2088">
            <v>901340412</v>
          </cell>
          <cell r="F2088" t="str">
            <v>GRUPO JANER SAS</v>
          </cell>
        </row>
        <row r="2089">
          <cell r="A2089">
            <v>45909</v>
          </cell>
          <cell r="B2089">
            <v>2025001855</v>
          </cell>
          <cell r="C2089" t="str">
            <v>452-2025</v>
          </cell>
          <cell r="D2089">
            <v>4825000</v>
          </cell>
          <cell r="E2089">
            <v>1004508471</v>
          </cell>
          <cell r="F2089" t="str">
            <v>ISABELA CATALINA CALDERON MERA</v>
          </cell>
        </row>
        <row r="2090">
          <cell r="A2090">
            <v>45909</v>
          </cell>
          <cell r="B2090">
            <v>2025001856</v>
          </cell>
          <cell r="C2090" t="str">
            <v>553-2025</v>
          </cell>
          <cell r="D2090">
            <v>2500000</v>
          </cell>
          <cell r="E2090">
            <v>30722194</v>
          </cell>
          <cell r="F2090" t="str">
            <v>ORFELINA DEL CARMEN OSORIO GUERRERO</v>
          </cell>
        </row>
        <row r="2091">
          <cell r="A2091">
            <v>45909</v>
          </cell>
          <cell r="B2091">
            <v>2025001857</v>
          </cell>
          <cell r="C2091" t="str">
            <v>464-2025</v>
          </cell>
          <cell r="D2091">
            <v>6000000</v>
          </cell>
          <cell r="E2091">
            <v>1085286476</v>
          </cell>
          <cell r="F2091" t="str">
            <v>ELIANA STEPHANIE CAICEDO ALVAREZ</v>
          </cell>
        </row>
        <row r="2092">
          <cell r="A2092">
            <v>45909</v>
          </cell>
          <cell r="B2092">
            <v>2025001858</v>
          </cell>
          <cell r="C2092" t="str">
            <v>459-2025</v>
          </cell>
          <cell r="D2092">
            <v>3000000</v>
          </cell>
          <cell r="E2092">
            <v>69028150</v>
          </cell>
          <cell r="F2092" t="str">
            <v>LYNN JANINA ORTIZ PAZ</v>
          </cell>
        </row>
        <row r="2093">
          <cell r="A2093">
            <v>45909</v>
          </cell>
          <cell r="B2093">
            <v>2025001859</v>
          </cell>
          <cell r="C2093" t="str">
            <v>548-2025</v>
          </cell>
          <cell r="D2093">
            <v>3000000</v>
          </cell>
          <cell r="E2093">
            <v>1085252263</v>
          </cell>
          <cell r="F2093" t="str">
            <v>DEISY JOHANNA BASTIDAS JOJOA</v>
          </cell>
        </row>
        <row r="2094">
          <cell r="A2094">
            <v>45909</v>
          </cell>
          <cell r="B2094">
            <v>2025001860</v>
          </cell>
          <cell r="C2094" t="str">
            <v>544-2025</v>
          </cell>
          <cell r="D2094">
            <v>2500000</v>
          </cell>
          <cell r="E2094">
            <v>59830219</v>
          </cell>
          <cell r="F2094" t="str">
            <v>ADRIANA GABRIELA DIAZ MONTENEGRO</v>
          </cell>
        </row>
        <row r="2095">
          <cell r="A2095">
            <v>45909</v>
          </cell>
          <cell r="B2095">
            <v>2025001862</v>
          </cell>
          <cell r="C2095" t="str">
            <v>502-2025</v>
          </cell>
          <cell r="D2095">
            <v>3000000</v>
          </cell>
          <cell r="E2095">
            <v>1085286742</v>
          </cell>
          <cell r="F2095" t="str">
            <v>VANESSA KATHERINE JOJOA ARIAS</v>
          </cell>
        </row>
        <row r="2096">
          <cell r="A2096">
            <v>45909</v>
          </cell>
          <cell r="B2096">
            <v>2025001864</v>
          </cell>
          <cell r="C2096" t="str">
            <v>495-2025</v>
          </cell>
          <cell r="D2096">
            <v>3000000</v>
          </cell>
          <cell r="E2096">
            <v>36954407</v>
          </cell>
          <cell r="F2096" t="str">
            <v>PAOLA VIVIANA HIDALGO MARCILLO</v>
          </cell>
        </row>
        <row r="2097">
          <cell r="A2097">
            <v>45909</v>
          </cell>
          <cell r="B2097">
            <v>2025001867</v>
          </cell>
          <cell r="C2097" t="str">
            <v>468-2025</v>
          </cell>
          <cell r="D2097">
            <v>4750000</v>
          </cell>
          <cell r="E2097">
            <v>59651018</v>
          </cell>
          <cell r="F2097" t="str">
            <v>DIANA MARIA ERASO ALAVA</v>
          </cell>
        </row>
        <row r="2098">
          <cell r="A2098">
            <v>45909</v>
          </cell>
          <cell r="B2098">
            <v>2025001870</v>
          </cell>
          <cell r="C2098" t="str">
            <v>493-2025</v>
          </cell>
          <cell r="D2098">
            <v>7500000</v>
          </cell>
          <cell r="E2098">
            <v>1085293105</v>
          </cell>
          <cell r="F2098" t="str">
            <v>CAMILO JAVIER OÑATE BUCHELI</v>
          </cell>
        </row>
        <row r="2099">
          <cell r="A2099">
            <v>45909</v>
          </cell>
          <cell r="B2099">
            <v>2025001872</v>
          </cell>
          <cell r="C2099" t="str">
            <v>516-2025</v>
          </cell>
          <cell r="D2099">
            <v>3000000</v>
          </cell>
          <cell r="E2099">
            <v>1010082397</v>
          </cell>
          <cell r="F2099" t="str">
            <v>JAQUELINE CAMILA GENOY VILLOTA</v>
          </cell>
        </row>
        <row r="2100">
          <cell r="A2100">
            <v>45909</v>
          </cell>
          <cell r="B2100">
            <v>2025001873</v>
          </cell>
          <cell r="C2100" t="str">
            <v>479-2025</v>
          </cell>
          <cell r="D2100">
            <v>3000000</v>
          </cell>
          <cell r="E2100">
            <v>1085300095</v>
          </cell>
          <cell r="F2100" t="str">
            <v>AIDE CAROLINA RIASCOS ECHEVERRY</v>
          </cell>
        </row>
        <row r="2101">
          <cell r="A2101">
            <v>45909</v>
          </cell>
          <cell r="B2101">
            <v>2025001874</v>
          </cell>
          <cell r="C2101" t="str">
            <v>481-2025</v>
          </cell>
          <cell r="D2101">
            <v>3000000</v>
          </cell>
          <cell r="E2101">
            <v>1088733625</v>
          </cell>
          <cell r="F2101" t="str">
            <v>YOLLDY LIZETH CABRERA FUERTES</v>
          </cell>
        </row>
        <row r="2102">
          <cell r="A2102">
            <v>45909</v>
          </cell>
          <cell r="B2102">
            <v>2025001875</v>
          </cell>
          <cell r="C2102" t="str">
            <v>517-2025</v>
          </cell>
          <cell r="D2102">
            <v>3000000</v>
          </cell>
          <cell r="E2102">
            <v>98382500</v>
          </cell>
          <cell r="F2102" t="str">
            <v>JOSE JAVIER PINTA YAQUENO</v>
          </cell>
        </row>
        <row r="2103">
          <cell r="A2103">
            <v>45909</v>
          </cell>
          <cell r="B2103">
            <v>2025001876</v>
          </cell>
          <cell r="C2103" t="str">
            <v>564-2025</v>
          </cell>
          <cell r="D2103">
            <v>3000000</v>
          </cell>
          <cell r="E2103">
            <v>59310853</v>
          </cell>
          <cell r="F2103" t="str">
            <v>LUCIA  PATRICIA URBANO VALLEJO</v>
          </cell>
        </row>
        <row r="2104">
          <cell r="A2104">
            <v>45910</v>
          </cell>
          <cell r="B2104">
            <v>2025001886</v>
          </cell>
          <cell r="C2104" t="str">
            <v>524-2025</v>
          </cell>
          <cell r="D2104">
            <v>7500000</v>
          </cell>
          <cell r="E2104">
            <v>1085336362</v>
          </cell>
          <cell r="F2104" t="str">
            <v>SOFIA ESMERALDA MEJIA ORTÍZ</v>
          </cell>
        </row>
        <row r="2105">
          <cell r="A2105">
            <v>45911</v>
          </cell>
          <cell r="B2105">
            <v>2025001890</v>
          </cell>
          <cell r="C2105" t="str">
            <v>484-2025</v>
          </cell>
          <cell r="D2105">
            <v>2500000</v>
          </cell>
          <cell r="E2105">
            <v>37087268</v>
          </cell>
          <cell r="F2105" t="str">
            <v>ALEXANDRA MARIA ORTEGA ROSERO</v>
          </cell>
        </row>
        <row r="2106">
          <cell r="A2106">
            <v>45911</v>
          </cell>
          <cell r="B2106">
            <v>2025001891</v>
          </cell>
          <cell r="C2106" t="str">
            <v>447-2025</v>
          </cell>
          <cell r="D2106">
            <v>4750000</v>
          </cell>
          <cell r="E2106">
            <v>1085313870</v>
          </cell>
          <cell r="F2106" t="str">
            <v>CAROL SILVANA PATIÑO VALENCIA</v>
          </cell>
        </row>
        <row r="2107">
          <cell r="A2107">
            <v>45911</v>
          </cell>
          <cell r="B2107">
            <v>2025001892</v>
          </cell>
          <cell r="C2107" t="str">
            <v>467-2025</v>
          </cell>
          <cell r="D2107">
            <v>3000000</v>
          </cell>
          <cell r="E2107">
            <v>36752202</v>
          </cell>
          <cell r="F2107" t="str">
            <v>PAULA ANDREA ROCHA DELGADO</v>
          </cell>
        </row>
        <row r="2108">
          <cell r="A2108">
            <v>45911</v>
          </cell>
          <cell r="B2108">
            <v>2025001893</v>
          </cell>
          <cell r="C2108" t="str">
            <v>637-2025</v>
          </cell>
          <cell r="D2108">
            <v>2500000</v>
          </cell>
          <cell r="E2108">
            <v>1085310465</v>
          </cell>
          <cell r="F2108" t="str">
            <v>YAMILE ALEJANDRA BOTINA RODRIGUEZ</v>
          </cell>
        </row>
        <row r="2109">
          <cell r="A2109">
            <v>45911</v>
          </cell>
          <cell r="B2109">
            <v>2025001894</v>
          </cell>
          <cell r="C2109" t="str">
            <v>539-2025</v>
          </cell>
          <cell r="D2109">
            <v>4825000</v>
          </cell>
          <cell r="E2109">
            <v>1085321578</v>
          </cell>
          <cell r="F2109" t="str">
            <v>CAROL  SUVANY HERRERA ERAZO</v>
          </cell>
        </row>
        <row r="2110">
          <cell r="A2110">
            <v>45911</v>
          </cell>
          <cell r="B2110">
            <v>2025001895</v>
          </cell>
          <cell r="C2110" t="str">
            <v>556-2025</v>
          </cell>
          <cell r="D2110">
            <v>2600000</v>
          </cell>
          <cell r="E2110">
            <v>1004235479</v>
          </cell>
          <cell r="F2110" t="str">
            <v>TANIA KARINA CUERO CASANOVA</v>
          </cell>
        </row>
        <row r="2111">
          <cell r="A2111">
            <v>45911</v>
          </cell>
          <cell r="B2111">
            <v>2025001896</v>
          </cell>
          <cell r="C2111" t="str">
            <v>458-2025</v>
          </cell>
          <cell r="D2111">
            <v>3000000</v>
          </cell>
          <cell r="E2111">
            <v>59310524</v>
          </cell>
          <cell r="F2111" t="str">
            <v>MARIBEL DEL CARMEN MAIGUAL MUÑOZ</v>
          </cell>
        </row>
        <row r="2112">
          <cell r="A2112">
            <v>45911</v>
          </cell>
          <cell r="B2112">
            <v>2025001897</v>
          </cell>
          <cell r="C2112" t="str">
            <v>633-2025</v>
          </cell>
          <cell r="D2112">
            <v>3000000</v>
          </cell>
          <cell r="E2112">
            <v>1004592366</v>
          </cell>
          <cell r="F2112" t="str">
            <v>IBONNE ALEJANDRA SILVA ARAUJO</v>
          </cell>
        </row>
        <row r="2113">
          <cell r="A2113">
            <v>45911</v>
          </cell>
          <cell r="B2113">
            <v>2025001898</v>
          </cell>
          <cell r="C2113" t="str">
            <v>654-2025</v>
          </cell>
          <cell r="D2113">
            <v>3000000</v>
          </cell>
          <cell r="E2113">
            <v>1085266584</v>
          </cell>
          <cell r="F2113" t="str">
            <v>MARIA ALEJANDRA BENAVIDES AYALA</v>
          </cell>
        </row>
        <row r="2114">
          <cell r="A2114">
            <v>45911</v>
          </cell>
          <cell r="B2114">
            <v>2025001899</v>
          </cell>
          <cell r="C2114" t="str">
            <v>494-2025</v>
          </cell>
          <cell r="D2114">
            <v>6000000</v>
          </cell>
          <cell r="E2114">
            <v>27146489</v>
          </cell>
          <cell r="F2114" t="str">
            <v>NEIRA JIMENA CASTILLO ARMERO</v>
          </cell>
        </row>
        <row r="2115">
          <cell r="A2115">
            <v>45911</v>
          </cell>
          <cell r="B2115">
            <v>2025001900</v>
          </cell>
          <cell r="C2115" t="str">
            <v>527-2025</v>
          </cell>
          <cell r="D2115">
            <v>4750000</v>
          </cell>
          <cell r="E2115">
            <v>27087475</v>
          </cell>
          <cell r="F2115" t="str">
            <v>JANETH EMILSE DIAZ  ARCINIEGAS</v>
          </cell>
        </row>
        <row r="2116">
          <cell r="A2116">
            <v>45911</v>
          </cell>
          <cell r="B2116">
            <v>2025001901</v>
          </cell>
          <cell r="C2116" t="str">
            <v>525-2025</v>
          </cell>
          <cell r="D2116">
            <v>2500000</v>
          </cell>
          <cell r="E2116">
            <v>12990231</v>
          </cell>
          <cell r="F2116" t="str">
            <v>EDUARDO  MAURICIO NARVAEZ GUERRA</v>
          </cell>
        </row>
        <row r="2117">
          <cell r="A2117">
            <v>45911</v>
          </cell>
          <cell r="B2117">
            <v>2025001902</v>
          </cell>
          <cell r="C2117" t="str">
            <v>655-2025</v>
          </cell>
          <cell r="D2117">
            <v>3000000</v>
          </cell>
          <cell r="E2117">
            <v>1085261053</v>
          </cell>
          <cell r="F2117" t="str">
            <v>ISABEL CRISTINA SANTACRUZ MUÑOZ</v>
          </cell>
        </row>
        <row r="2118">
          <cell r="A2118">
            <v>45911</v>
          </cell>
          <cell r="B2118">
            <v>2025001903</v>
          </cell>
          <cell r="C2118" t="str">
            <v>518-2025</v>
          </cell>
          <cell r="D2118">
            <v>3000000</v>
          </cell>
          <cell r="E2118">
            <v>1137624011</v>
          </cell>
          <cell r="F2118" t="str">
            <v>KAROL DAYANA TONGUINO TORO</v>
          </cell>
        </row>
        <row r="2119">
          <cell r="A2119">
            <v>45911</v>
          </cell>
          <cell r="B2119">
            <v>2025001904</v>
          </cell>
          <cell r="C2119" t="str">
            <v>483-2025</v>
          </cell>
          <cell r="D2119">
            <v>3000000</v>
          </cell>
          <cell r="E2119">
            <v>1085271641</v>
          </cell>
          <cell r="F2119" t="str">
            <v>LISSETH MARISOL CUASTUMAL  CASTRO</v>
          </cell>
        </row>
        <row r="2120">
          <cell r="A2120">
            <v>45911</v>
          </cell>
          <cell r="B2120">
            <v>2025001905</v>
          </cell>
          <cell r="C2120" t="str">
            <v>540-2025</v>
          </cell>
          <cell r="D2120">
            <v>4750000</v>
          </cell>
          <cell r="E2120">
            <v>1018492767</v>
          </cell>
          <cell r="F2120" t="str">
            <v>LAURA CATALINA MUÑOZ LUNA</v>
          </cell>
        </row>
        <row r="2121">
          <cell r="A2121">
            <v>45911</v>
          </cell>
          <cell r="B2121">
            <v>2025001906</v>
          </cell>
          <cell r="C2121" t="str">
            <v>463-2025</v>
          </cell>
          <cell r="D2121">
            <v>6000000</v>
          </cell>
          <cell r="E2121">
            <v>36757221</v>
          </cell>
          <cell r="F2121" t="str">
            <v>FANNY MARIELA CORDOBA MORENO</v>
          </cell>
        </row>
        <row r="2122">
          <cell r="A2122">
            <v>45911</v>
          </cell>
          <cell r="B2122">
            <v>2025001907</v>
          </cell>
          <cell r="C2122" t="str">
            <v>546-2025</v>
          </cell>
          <cell r="D2122">
            <v>3000000</v>
          </cell>
          <cell r="E2122">
            <v>36861874</v>
          </cell>
          <cell r="F2122" t="str">
            <v>MARIA EUGENIA ESTRADA ZAMBRANO</v>
          </cell>
        </row>
        <row r="2123">
          <cell r="A2123">
            <v>45915</v>
          </cell>
          <cell r="B2123">
            <v>2025001916</v>
          </cell>
          <cell r="C2123" t="str">
            <v>499-2025</v>
          </cell>
          <cell r="D2123">
            <v>3000000</v>
          </cell>
          <cell r="E2123">
            <v>1085317833</v>
          </cell>
          <cell r="F2123" t="str">
            <v>ANGIE VIVIANA SACANAMBUY PAZ</v>
          </cell>
        </row>
        <row r="2124">
          <cell r="A2124">
            <v>45915</v>
          </cell>
          <cell r="B2124">
            <v>2025001917</v>
          </cell>
          <cell r="C2124" t="str">
            <v>590-2025</v>
          </cell>
          <cell r="D2124">
            <v>4825000</v>
          </cell>
          <cell r="E2124">
            <v>36951301</v>
          </cell>
          <cell r="F2124" t="str">
            <v>MIRIAN SUVANY DAVID NARVAEZ</v>
          </cell>
        </row>
        <row r="2125">
          <cell r="A2125">
            <v>45915</v>
          </cell>
          <cell r="B2125">
            <v>2025001918</v>
          </cell>
          <cell r="C2125" t="str">
            <v>491-2025</v>
          </cell>
          <cell r="D2125">
            <v>4750000</v>
          </cell>
          <cell r="E2125">
            <v>1085345772</v>
          </cell>
          <cell r="F2125" t="str">
            <v>MARIA ISABEL ALVAREZ CAICEDO</v>
          </cell>
        </row>
        <row r="2126">
          <cell r="A2126">
            <v>197</v>
          </cell>
          <cell r="B2126">
            <v>2025001919</v>
          </cell>
          <cell r="C2126" t="str">
            <v>498-2025</v>
          </cell>
          <cell r="D2126">
            <v>3000000</v>
          </cell>
          <cell r="E2126">
            <v>1081272025</v>
          </cell>
          <cell r="F2126" t="str">
            <v>ANGIE GABRIELA ENRIQUEZ TACAN</v>
          </cell>
        </row>
        <row r="2127">
          <cell r="A2127">
            <v>45915</v>
          </cell>
          <cell r="B2127">
            <v>2025001920</v>
          </cell>
          <cell r="C2127" t="str">
            <v>515-2025</v>
          </cell>
          <cell r="D2127">
            <v>7500000</v>
          </cell>
          <cell r="E2127">
            <v>1193202097</v>
          </cell>
          <cell r="F2127" t="str">
            <v>VERONICA SOFIA HUERTAS ARCINIEGAS</v>
          </cell>
        </row>
        <row r="2128">
          <cell r="A2128">
            <v>45915</v>
          </cell>
          <cell r="B2128">
            <v>2025001921</v>
          </cell>
          <cell r="C2128" t="str">
            <v>503-2025</v>
          </cell>
          <cell r="D2128">
            <v>3000000</v>
          </cell>
          <cell r="E2128">
            <v>27388522</v>
          </cell>
          <cell r="F2128" t="str">
            <v>NUVI GRACIELA CHAMORRO CORAL</v>
          </cell>
        </row>
        <row r="2129">
          <cell r="A2129">
            <v>45915</v>
          </cell>
          <cell r="B2129">
            <v>2025001922</v>
          </cell>
          <cell r="C2129" t="str">
            <v>660-2025</v>
          </cell>
          <cell r="D2129">
            <v>6000000</v>
          </cell>
          <cell r="E2129">
            <v>1004213964</v>
          </cell>
          <cell r="F2129" t="str">
            <v>JENIFFER  ARCOS GIL</v>
          </cell>
        </row>
        <row r="2130">
          <cell r="A2130">
            <v>45915</v>
          </cell>
          <cell r="B2130">
            <v>2025001923</v>
          </cell>
          <cell r="C2130" t="str">
            <v>557-2025</v>
          </cell>
          <cell r="D2130">
            <v>6000000</v>
          </cell>
          <cell r="E2130">
            <v>1085299577</v>
          </cell>
          <cell r="F2130" t="str">
            <v>DIANA MARCELA RODRIGUEZ MORA</v>
          </cell>
        </row>
        <row r="2131">
          <cell r="A2131">
            <v>45916</v>
          </cell>
          <cell r="B2131">
            <v>2025001937</v>
          </cell>
          <cell r="C2131" t="str">
            <v>601-2025</v>
          </cell>
          <cell r="D2131">
            <v>6000000</v>
          </cell>
          <cell r="E2131">
            <v>1082748420</v>
          </cell>
          <cell r="F2131" t="str">
            <v>NATHALIA  ROSERO RODRIGUEZ</v>
          </cell>
        </row>
        <row r="2132">
          <cell r="A2132">
            <v>45916</v>
          </cell>
          <cell r="B2132">
            <v>2025001938</v>
          </cell>
          <cell r="C2132" t="str">
            <v>456-2025</v>
          </cell>
          <cell r="D2132">
            <v>3000000</v>
          </cell>
          <cell r="E2132">
            <v>1080690337</v>
          </cell>
          <cell r="F2132" t="str">
            <v>LUZ  ANGELICA CHILES CABRERA</v>
          </cell>
        </row>
        <row r="2133">
          <cell r="A2133">
            <v>45916</v>
          </cell>
          <cell r="B2133">
            <v>2025001939</v>
          </cell>
          <cell r="C2133" t="str">
            <v>564-2025</v>
          </cell>
          <cell r="D2133">
            <v>3000000</v>
          </cell>
          <cell r="E2133">
            <v>59310853</v>
          </cell>
          <cell r="F2133" t="str">
            <v>LUCIA  PATRICIA URBANO VALLEJO</v>
          </cell>
        </row>
        <row r="2134">
          <cell r="A2134">
            <v>45916</v>
          </cell>
          <cell r="B2134">
            <v>2025001940</v>
          </cell>
          <cell r="C2134" t="str">
            <v>533-2025</v>
          </cell>
          <cell r="D2134">
            <v>2500000</v>
          </cell>
          <cell r="E2134">
            <v>1085304072</v>
          </cell>
          <cell r="F2134" t="str">
            <v>MARGARITA ANDREA BENAVIDES NASPIRAN</v>
          </cell>
        </row>
        <row r="2135">
          <cell r="A2135">
            <v>45916</v>
          </cell>
          <cell r="B2135">
            <v>2025001941</v>
          </cell>
          <cell r="C2135" t="str">
            <v>547-2025</v>
          </cell>
          <cell r="D2135">
            <v>7500000</v>
          </cell>
          <cell r="E2135">
            <v>37087120</v>
          </cell>
          <cell r="F2135" t="str">
            <v>JOHANA CAROLINA CAICEDO GOYES</v>
          </cell>
        </row>
        <row r="2136">
          <cell r="A2136">
            <v>45916</v>
          </cell>
          <cell r="B2136">
            <v>2025001942</v>
          </cell>
          <cell r="C2136" t="str">
            <v>513-2025</v>
          </cell>
          <cell r="D2136">
            <v>3000000</v>
          </cell>
          <cell r="E2136">
            <v>59834953</v>
          </cell>
          <cell r="F2136" t="str">
            <v>PATRICIA YOLANDA PAZ  DELGADO</v>
          </cell>
        </row>
        <row r="2137">
          <cell r="A2137">
            <v>45916</v>
          </cell>
          <cell r="B2137">
            <v>2025001943</v>
          </cell>
          <cell r="C2137" t="str">
            <v>457-2025</v>
          </cell>
          <cell r="D2137">
            <v>2500000</v>
          </cell>
          <cell r="E2137">
            <v>1085255753</v>
          </cell>
          <cell r="F2137" t="str">
            <v>MAGDA YAMILE MIDEROS MUÐOZ</v>
          </cell>
        </row>
        <row r="2138">
          <cell r="A2138">
            <v>45916</v>
          </cell>
          <cell r="B2138">
            <v>2025001944</v>
          </cell>
          <cell r="C2138" t="str">
            <v>522-2025</v>
          </cell>
          <cell r="D2138">
            <v>2500000</v>
          </cell>
          <cell r="E2138">
            <v>1088729401</v>
          </cell>
          <cell r="F2138" t="str">
            <v>CARLOS ANDRES PANTOJA BENAVIDES</v>
          </cell>
        </row>
        <row r="2139">
          <cell r="A2139">
            <v>45916</v>
          </cell>
          <cell r="B2139">
            <v>2025001945</v>
          </cell>
          <cell r="C2139" t="str">
            <v>487-2025</v>
          </cell>
          <cell r="D2139">
            <v>7500000</v>
          </cell>
          <cell r="E2139">
            <v>1087006619</v>
          </cell>
          <cell r="F2139" t="str">
            <v>GUIDO DUVAN RECALDE AREVALO</v>
          </cell>
        </row>
        <row r="2140">
          <cell r="A2140">
            <v>45916</v>
          </cell>
          <cell r="B2140">
            <v>2025001951</v>
          </cell>
          <cell r="C2140" t="str">
            <v>530-2025</v>
          </cell>
          <cell r="D2140">
            <v>72299010</v>
          </cell>
          <cell r="E2140">
            <v>805021222</v>
          </cell>
          <cell r="F2140" t="str">
            <v>TRANSPORTES ESPECIALES ACAR LTDA</v>
          </cell>
        </row>
        <row r="2141">
          <cell r="A2141">
            <v>45918</v>
          </cell>
          <cell r="B2141">
            <v>2025001969</v>
          </cell>
          <cell r="C2141" t="str">
            <v>543-2025</v>
          </cell>
          <cell r="D2141">
            <v>3000000</v>
          </cell>
          <cell r="E2141">
            <v>1233189234</v>
          </cell>
          <cell r="F2141" t="str">
            <v>YULLI KAROLINA CASTILLO PAZ</v>
          </cell>
        </row>
        <row r="2142">
          <cell r="A2142">
            <v>45918</v>
          </cell>
          <cell r="B2142">
            <v>2025001970</v>
          </cell>
          <cell r="C2142" t="str">
            <v>549-2025</v>
          </cell>
          <cell r="D2142">
            <v>3000000</v>
          </cell>
          <cell r="E2142">
            <v>1087959088</v>
          </cell>
          <cell r="F2142" t="str">
            <v>LICETH YAMIL TIMANA CAEZ</v>
          </cell>
        </row>
        <row r="2143">
          <cell r="A2143">
            <v>45918</v>
          </cell>
          <cell r="B2143">
            <v>2025001971</v>
          </cell>
          <cell r="C2143" t="str">
            <v>500-2025</v>
          </cell>
          <cell r="D2143">
            <v>3000000</v>
          </cell>
          <cell r="E2143">
            <v>1087006717</v>
          </cell>
          <cell r="F2143" t="str">
            <v>MIRYAM  ELIZABETH POPAYAN PASCUAZA</v>
          </cell>
        </row>
        <row r="2144">
          <cell r="A2144">
            <v>45918</v>
          </cell>
          <cell r="B2144">
            <v>2025001973</v>
          </cell>
          <cell r="C2144" t="str">
            <v>474-2025</v>
          </cell>
          <cell r="D2144">
            <v>2500000</v>
          </cell>
          <cell r="E2144">
            <v>1233189896</v>
          </cell>
          <cell r="F2144" t="str">
            <v>NICOLAS EMILIO MENA  JOJOA</v>
          </cell>
        </row>
        <row r="2145">
          <cell r="A2145">
            <v>45918</v>
          </cell>
          <cell r="B2145">
            <v>2025001974</v>
          </cell>
          <cell r="C2145" t="str">
            <v>455-2025</v>
          </cell>
          <cell r="D2145">
            <v>7500000</v>
          </cell>
          <cell r="E2145">
            <v>1006106084</v>
          </cell>
          <cell r="F2145" t="str">
            <v>JUAN ESTEBAN OBANDO ORDOÑEZ</v>
          </cell>
        </row>
        <row r="2146">
          <cell r="A2146">
            <v>45918</v>
          </cell>
          <cell r="B2146">
            <v>2025001975</v>
          </cell>
          <cell r="C2146" t="str">
            <v>565-2025</v>
          </cell>
          <cell r="D2146">
            <v>3000000</v>
          </cell>
          <cell r="E2146">
            <v>1085326791</v>
          </cell>
          <cell r="F2146" t="str">
            <v>EDIER ERNEY CORDOBA ROJAS</v>
          </cell>
        </row>
        <row r="2147">
          <cell r="A2147">
            <v>45918</v>
          </cell>
          <cell r="B2147">
            <v>2025001976</v>
          </cell>
          <cell r="C2147" t="str">
            <v>592-2025</v>
          </cell>
          <cell r="D2147">
            <v>3000000</v>
          </cell>
          <cell r="E2147">
            <v>37082232</v>
          </cell>
          <cell r="F2147" t="str">
            <v>ZAMBRANO ONOFRE MYRIAM ADRIANA</v>
          </cell>
        </row>
        <row r="2148">
          <cell r="A2148">
            <v>45918</v>
          </cell>
          <cell r="B2148">
            <v>2025001977</v>
          </cell>
          <cell r="C2148" t="str">
            <v>614-2025</v>
          </cell>
          <cell r="D2148">
            <v>3000000</v>
          </cell>
          <cell r="E2148">
            <v>1085304308</v>
          </cell>
          <cell r="F2148" t="str">
            <v>ADRIANA YESENIA BOTINA GUACAS</v>
          </cell>
        </row>
        <row r="2149">
          <cell r="A2149">
            <v>45918</v>
          </cell>
          <cell r="B2149">
            <v>2025001978</v>
          </cell>
          <cell r="C2149" t="str">
            <v>545-2025</v>
          </cell>
          <cell r="D2149">
            <v>6000000</v>
          </cell>
          <cell r="E2149">
            <v>59820414</v>
          </cell>
          <cell r="F2149" t="str">
            <v>CARMEN PATRICIA CORDOBA ARTEAGA</v>
          </cell>
        </row>
        <row r="2150">
          <cell r="A2150">
            <v>45918</v>
          </cell>
          <cell r="B2150">
            <v>2025001979</v>
          </cell>
          <cell r="C2150" t="str">
            <v>643-2025</v>
          </cell>
          <cell r="D2150">
            <v>6000000</v>
          </cell>
          <cell r="E2150">
            <v>27097745</v>
          </cell>
          <cell r="F2150" t="str">
            <v>NORA  VIVEROS BRAVO</v>
          </cell>
        </row>
        <row r="2151">
          <cell r="A2151">
            <v>45918</v>
          </cell>
          <cell r="B2151">
            <v>2025001980</v>
          </cell>
          <cell r="C2151" t="str">
            <v>569-2025</v>
          </cell>
          <cell r="D2151">
            <v>2500000</v>
          </cell>
          <cell r="E2151">
            <v>1087408320</v>
          </cell>
          <cell r="F2151" t="str">
            <v>YULI SUSANA CULCHA CUPACAN</v>
          </cell>
        </row>
        <row r="2152">
          <cell r="A2152">
            <v>45918</v>
          </cell>
          <cell r="B2152">
            <v>2025001981</v>
          </cell>
          <cell r="C2152" t="str">
            <v>575-2025</v>
          </cell>
          <cell r="D2152">
            <v>3000000</v>
          </cell>
          <cell r="E2152">
            <v>1085315013</v>
          </cell>
          <cell r="F2152" t="str">
            <v>ANA ALEJANDRA SALAZAR  RAMIREZ</v>
          </cell>
        </row>
        <row r="2153">
          <cell r="A2153">
            <v>45918</v>
          </cell>
          <cell r="B2153">
            <v>2025001982</v>
          </cell>
          <cell r="C2153" t="str">
            <v>507-2025</v>
          </cell>
          <cell r="D2153">
            <v>3000000</v>
          </cell>
          <cell r="E2153">
            <v>1081594639</v>
          </cell>
          <cell r="F2153" t="str">
            <v>ANYI NATALY FARINANGO CHAVEZ</v>
          </cell>
        </row>
        <row r="2154">
          <cell r="A2154">
            <v>45918</v>
          </cell>
          <cell r="B2154">
            <v>2025001983</v>
          </cell>
          <cell r="C2154" t="str">
            <v>573-2025</v>
          </cell>
          <cell r="D2154">
            <v>3000000</v>
          </cell>
          <cell r="E2154">
            <v>1004535234</v>
          </cell>
          <cell r="F2154" t="str">
            <v>BRIGIT ESNIT GARCIA MANCHABAJOY</v>
          </cell>
        </row>
        <row r="2155">
          <cell r="A2155">
            <v>45918</v>
          </cell>
          <cell r="B2155">
            <v>2025001984</v>
          </cell>
          <cell r="C2155" t="str">
            <v>607-2025</v>
          </cell>
          <cell r="D2155">
            <v>3000000</v>
          </cell>
          <cell r="E2155">
            <v>1086363186</v>
          </cell>
          <cell r="F2155" t="str">
            <v>JERSON LEODAN LEITON TORO</v>
          </cell>
        </row>
        <row r="2156">
          <cell r="A2156">
            <v>45918</v>
          </cell>
          <cell r="B2156">
            <v>2025001985</v>
          </cell>
          <cell r="C2156" t="str">
            <v>510-2025</v>
          </cell>
          <cell r="D2156">
            <v>3000000</v>
          </cell>
          <cell r="E2156">
            <v>1086222689</v>
          </cell>
          <cell r="F2156" t="str">
            <v>PAULA ANDREA PRADO ACOSTA</v>
          </cell>
        </row>
        <row r="2157">
          <cell r="A2157">
            <v>45918</v>
          </cell>
          <cell r="B2157">
            <v>2025001986</v>
          </cell>
          <cell r="C2157" t="str">
            <v>471-2025</v>
          </cell>
          <cell r="D2157">
            <v>7500000</v>
          </cell>
          <cell r="E2157">
            <v>1085329980</v>
          </cell>
          <cell r="F2157" t="str">
            <v>MARIA  CAMILA JURADO PAZ</v>
          </cell>
        </row>
        <row r="2158">
          <cell r="A2158">
            <v>45918</v>
          </cell>
          <cell r="B2158">
            <v>2025001987</v>
          </cell>
          <cell r="C2158" t="str">
            <v>488-2025</v>
          </cell>
          <cell r="D2158">
            <v>5000000</v>
          </cell>
          <cell r="E2158">
            <v>1085313872</v>
          </cell>
          <cell r="F2158" t="str">
            <v>NIKOLE CAROLAY IBAÑEZ ALVAREZ</v>
          </cell>
        </row>
        <row r="2159">
          <cell r="A2159">
            <v>45922</v>
          </cell>
          <cell r="B2159">
            <v>2025001988</v>
          </cell>
          <cell r="C2159" t="str">
            <v>532-2025</v>
          </cell>
          <cell r="D2159">
            <v>5000000</v>
          </cell>
          <cell r="E2159">
            <v>27220499</v>
          </cell>
          <cell r="F2159" t="str">
            <v xml:space="preserve">DOLORES BERTINA BASANTE </v>
          </cell>
        </row>
        <row r="2160">
          <cell r="A2160">
            <v>45922</v>
          </cell>
          <cell r="B2160">
            <v>2025001989</v>
          </cell>
          <cell r="C2160" t="str">
            <v>642-2025</v>
          </cell>
          <cell r="D2160">
            <v>3000000</v>
          </cell>
          <cell r="E2160">
            <v>1084224968</v>
          </cell>
          <cell r="F2160" t="str">
            <v>VIVIAN ROXANA JURADO BANDA</v>
          </cell>
        </row>
        <row r="2161">
          <cell r="A2161">
            <v>45922</v>
          </cell>
          <cell r="B2161">
            <v>2025001990</v>
          </cell>
          <cell r="C2161" t="str">
            <v>552-2025</v>
          </cell>
          <cell r="D2161">
            <v>3000000</v>
          </cell>
          <cell r="E2161">
            <v>1085269090</v>
          </cell>
          <cell r="F2161" t="str">
            <v>FHALOM CAROLINA ROSERO TORRES</v>
          </cell>
        </row>
        <row r="2162">
          <cell r="A2162">
            <v>45922</v>
          </cell>
          <cell r="B2162">
            <v>2025001991</v>
          </cell>
          <cell r="C2162" t="str">
            <v>609-2025</v>
          </cell>
          <cell r="D2162">
            <v>2500000</v>
          </cell>
          <cell r="E2162">
            <v>1084552048</v>
          </cell>
          <cell r="F2162" t="str">
            <v>ANGY ELISABETH ROSERO LOPEZ</v>
          </cell>
        </row>
        <row r="2163">
          <cell r="A2163">
            <v>45922</v>
          </cell>
          <cell r="B2163">
            <v>2025001992</v>
          </cell>
          <cell r="C2163" t="str">
            <v>631-2025</v>
          </cell>
          <cell r="D2163">
            <v>6000000</v>
          </cell>
          <cell r="E2163">
            <v>1085253062</v>
          </cell>
          <cell r="F2163" t="str">
            <v>LILIANA MAYER BOTINA CRIOLLO</v>
          </cell>
        </row>
        <row r="2164">
          <cell r="A2164">
            <v>45922</v>
          </cell>
          <cell r="B2164">
            <v>2025001993</v>
          </cell>
          <cell r="C2164" t="str">
            <v>475-2025</v>
          </cell>
          <cell r="D2164">
            <v>6000000</v>
          </cell>
          <cell r="E2164">
            <v>59314458</v>
          </cell>
          <cell r="F2164" t="str">
            <v>LEYDI DEL ROSARIO CUACEZ NOGUERA</v>
          </cell>
        </row>
        <row r="2165">
          <cell r="A2165">
            <v>45922</v>
          </cell>
          <cell r="B2165">
            <v>2025001994</v>
          </cell>
          <cell r="C2165" t="str">
            <v>572-2025</v>
          </cell>
          <cell r="D2165">
            <v>6000000</v>
          </cell>
          <cell r="E2165">
            <v>1085275879</v>
          </cell>
          <cell r="F2165" t="str">
            <v>DANIELA FERNANDA ERASO VALENCIA</v>
          </cell>
        </row>
        <row r="2166">
          <cell r="A2166">
            <v>45922</v>
          </cell>
          <cell r="B2166">
            <v>2025001995</v>
          </cell>
          <cell r="C2166" t="str">
            <v>509-2025</v>
          </cell>
          <cell r="D2166">
            <v>4825000</v>
          </cell>
          <cell r="E2166">
            <v>1085269530</v>
          </cell>
          <cell r="F2166" t="str">
            <v xml:space="preserve">CLARA MARIA ACOSTA </v>
          </cell>
        </row>
        <row r="2167">
          <cell r="A2167">
            <v>45922</v>
          </cell>
          <cell r="B2167">
            <v>2025001996</v>
          </cell>
          <cell r="C2167" t="str">
            <v>504-2025</v>
          </cell>
          <cell r="D2167">
            <v>6000000</v>
          </cell>
          <cell r="E2167">
            <v>1014212900</v>
          </cell>
          <cell r="F2167" t="str">
            <v>LADY CAROLINA TIBAQUIRA BALLESTEROS</v>
          </cell>
        </row>
        <row r="2168">
          <cell r="A2168">
            <v>45922</v>
          </cell>
          <cell r="B2168">
            <v>2025001997</v>
          </cell>
          <cell r="C2168" t="str">
            <v>476-2025</v>
          </cell>
          <cell r="D2168">
            <v>4750000</v>
          </cell>
          <cell r="E2168">
            <v>36759759</v>
          </cell>
          <cell r="F2168" t="str">
            <v>LAUREN AZENITH CORAL SAMUDIO</v>
          </cell>
        </row>
        <row r="2169">
          <cell r="A2169">
            <v>45923</v>
          </cell>
          <cell r="B2169">
            <v>2025002008</v>
          </cell>
          <cell r="C2169" t="str">
            <v>605-2025</v>
          </cell>
          <cell r="D2169">
            <v>3000000</v>
          </cell>
          <cell r="E2169">
            <v>59706564</v>
          </cell>
          <cell r="F2169" t="str">
            <v>DOLLY DIGNA DAVILA</v>
          </cell>
        </row>
        <row r="2170">
          <cell r="A2170">
            <v>45923</v>
          </cell>
          <cell r="B2170">
            <v>2025002009</v>
          </cell>
          <cell r="C2170" t="str">
            <v>580-2025</v>
          </cell>
          <cell r="D2170">
            <v>3000000</v>
          </cell>
          <cell r="E2170">
            <v>27088197</v>
          </cell>
          <cell r="F2170" t="str">
            <v>PAULA ANDREA MANOSALVA UNIGARRO</v>
          </cell>
        </row>
        <row r="2171">
          <cell r="A2171">
            <v>45923</v>
          </cell>
          <cell r="B2171">
            <v>2025002010</v>
          </cell>
          <cell r="C2171" t="str">
            <v>615-2025</v>
          </cell>
          <cell r="D2171">
            <v>3000000</v>
          </cell>
          <cell r="E2171">
            <v>1085314608</v>
          </cell>
          <cell r="F2171" t="str">
            <v>JULIET ELIANA MORENO LOPEZ</v>
          </cell>
        </row>
        <row r="2172">
          <cell r="A2172">
            <v>45923</v>
          </cell>
          <cell r="B2172">
            <v>2025002011</v>
          </cell>
          <cell r="C2172" t="str">
            <v>667-2025</v>
          </cell>
          <cell r="D2172">
            <v>3000000</v>
          </cell>
          <cell r="E2172">
            <v>1030606749</v>
          </cell>
          <cell r="F2172" t="str">
            <v>ANGELA EDITH GONZALEZ PIANDA</v>
          </cell>
        </row>
        <row r="2173">
          <cell r="A2173">
            <v>45923</v>
          </cell>
          <cell r="B2173">
            <v>2025002012</v>
          </cell>
          <cell r="C2173" t="str">
            <v>594-2025</v>
          </cell>
          <cell r="D2173">
            <v>3000000</v>
          </cell>
          <cell r="E2173">
            <v>1086329609</v>
          </cell>
          <cell r="F2173" t="str">
            <v>LORENA DEL CARMEN  OJEDA VAZQUEZ</v>
          </cell>
        </row>
        <row r="2174">
          <cell r="A2174">
            <v>45923</v>
          </cell>
          <cell r="B2174">
            <v>2025002013</v>
          </cell>
          <cell r="C2174" t="str">
            <v>470-2025</v>
          </cell>
          <cell r="D2174">
            <v>4825000</v>
          </cell>
          <cell r="E2174">
            <v>1085311814</v>
          </cell>
          <cell r="F2174" t="str">
            <v>LAURA CAROLINA DELGADO BASTIDAS</v>
          </cell>
        </row>
        <row r="2175">
          <cell r="A2175">
            <v>45923</v>
          </cell>
          <cell r="B2175">
            <v>2025002014</v>
          </cell>
          <cell r="C2175" t="str">
            <v>608-2025</v>
          </cell>
          <cell r="D2175">
            <v>3000000</v>
          </cell>
          <cell r="E2175">
            <v>1085274630</v>
          </cell>
          <cell r="F2175" t="str">
            <v>CARLOS EDUARDO BASTIDAS OBANDO</v>
          </cell>
        </row>
        <row r="2176">
          <cell r="A2176">
            <v>45923</v>
          </cell>
          <cell r="B2176">
            <v>2025002015</v>
          </cell>
          <cell r="C2176" t="str">
            <v>663-2025</v>
          </cell>
          <cell r="D2176">
            <v>6000000</v>
          </cell>
          <cell r="E2176">
            <v>36954410</v>
          </cell>
          <cell r="F2176" t="str">
            <v>KARINA MARIBEL LUNA LOPEZ</v>
          </cell>
        </row>
        <row r="2177">
          <cell r="A2177">
            <v>45925</v>
          </cell>
          <cell r="B2177">
            <v>2025002033</v>
          </cell>
          <cell r="C2177" t="str">
            <v>496-2025</v>
          </cell>
          <cell r="D2177">
            <v>6000000</v>
          </cell>
          <cell r="E2177">
            <v>59825948</v>
          </cell>
          <cell r="F2177" t="str">
            <v>CALVACHE MARTINEZ CLAUDIA LUCY</v>
          </cell>
        </row>
        <row r="2178">
          <cell r="A2178">
            <v>45925</v>
          </cell>
          <cell r="B2178">
            <v>2025002034</v>
          </cell>
          <cell r="C2178" t="str">
            <v>479-2025</v>
          </cell>
          <cell r="D2178">
            <v>3000000</v>
          </cell>
          <cell r="E2178">
            <v>1085300095</v>
          </cell>
          <cell r="F2178" t="str">
            <v>AIDE CAROLINA RIASCOS ECHEVERRY</v>
          </cell>
        </row>
        <row r="2179">
          <cell r="A2179">
            <v>45925</v>
          </cell>
          <cell r="B2179">
            <v>2025002035</v>
          </cell>
          <cell r="C2179" t="str">
            <v>481-2025</v>
          </cell>
          <cell r="D2179">
            <v>3000000</v>
          </cell>
          <cell r="E2179">
            <v>1088733625</v>
          </cell>
          <cell r="F2179" t="str">
            <v>YOLLDY LIZETH CABRERA FUERTES</v>
          </cell>
        </row>
        <row r="2180">
          <cell r="A2180">
            <v>45925</v>
          </cell>
          <cell r="B2180">
            <v>2025002036</v>
          </cell>
          <cell r="C2180" t="str">
            <v>606-2025</v>
          </cell>
          <cell r="D2180">
            <v>3000000</v>
          </cell>
          <cell r="E2180">
            <v>1004743217</v>
          </cell>
          <cell r="F2180" t="str">
            <v>JEFFERSON RIGO LEITON RODRIGUEZ</v>
          </cell>
        </row>
        <row r="2181">
          <cell r="A2181">
            <v>45925</v>
          </cell>
          <cell r="B2181">
            <v>2025002037</v>
          </cell>
          <cell r="C2181" t="str">
            <v>574-2025</v>
          </cell>
          <cell r="D2181">
            <v>2500000</v>
          </cell>
          <cell r="E2181">
            <v>30734666</v>
          </cell>
          <cell r="F2181" t="str">
            <v>LUZ AMPARO ROMAN GUANCHA</v>
          </cell>
        </row>
        <row r="2182">
          <cell r="A2182">
            <v>45930.628472222219</v>
          </cell>
          <cell r="B2182">
            <v>2025002094</v>
          </cell>
          <cell r="C2182" t="str">
            <v>492-2025</v>
          </cell>
          <cell r="D2182">
            <v>3000000</v>
          </cell>
          <cell r="E2182">
            <v>1086223299</v>
          </cell>
          <cell r="F2182" t="str">
            <v>DOLY MAYBRI TIMANA GUACAN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sheetData sheetId="1">
        <row r="1">
          <cell r="A1" t="str">
            <v>142-2024</v>
          </cell>
          <cell r="B1">
            <v>125428367</v>
          </cell>
        </row>
        <row r="2">
          <cell r="A2" t="str">
            <v>159-2024</v>
          </cell>
          <cell r="B2">
            <v>8000000</v>
          </cell>
        </row>
        <row r="3">
          <cell r="A3" t="str">
            <v>208-2024</v>
          </cell>
          <cell r="B3">
            <v>24264774</v>
          </cell>
        </row>
        <row r="4">
          <cell r="A4" t="str">
            <v>148-2024</v>
          </cell>
          <cell r="B4">
            <v>19302400</v>
          </cell>
        </row>
        <row r="5">
          <cell r="A5" t="str">
            <v>158-2024</v>
          </cell>
          <cell r="B5">
            <v>2000000</v>
          </cell>
        </row>
        <row r="6">
          <cell r="A6" t="str">
            <v>195-2024</v>
          </cell>
          <cell r="B6">
            <v>24000000</v>
          </cell>
        </row>
        <row r="7">
          <cell r="A7" t="str">
            <v>198-2024</v>
          </cell>
          <cell r="B7">
            <v>30000000</v>
          </cell>
        </row>
        <row r="8">
          <cell r="A8" t="str">
            <v>166-2024</v>
          </cell>
          <cell r="B8">
            <v>19000000</v>
          </cell>
        </row>
        <row r="9">
          <cell r="A9" t="str">
            <v>181-2024</v>
          </cell>
          <cell r="B9">
            <v>24000000</v>
          </cell>
        </row>
        <row r="10">
          <cell r="A10" t="str">
            <v>404-2024</v>
          </cell>
          <cell r="B10">
            <v>18000000</v>
          </cell>
        </row>
        <row r="11">
          <cell r="A11" t="str">
            <v>266-2024</v>
          </cell>
          <cell r="B11">
            <v>19000000</v>
          </cell>
        </row>
        <row r="12">
          <cell r="A12" t="str">
            <v>401-2024</v>
          </cell>
          <cell r="B12">
            <v>18000000</v>
          </cell>
        </row>
        <row r="13">
          <cell r="A13" t="str">
            <v>373-2024</v>
          </cell>
          <cell r="B13">
            <v>6000000</v>
          </cell>
        </row>
        <row r="14">
          <cell r="A14" t="str">
            <v>393-2024</v>
          </cell>
          <cell r="B14">
            <v>6000000</v>
          </cell>
        </row>
        <row r="15">
          <cell r="A15" t="str">
            <v>168-2024</v>
          </cell>
          <cell r="B15">
            <v>8000000</v>
          </cell>
        </row>
        <row r="16">
          <cell r="A16" t="str">
            <v>399-2024</v>
          </cell>
          <cell r="B16">
            <v>6000000</v>
          </cell>
        </row>
        <row r="17">
          <cell r="A17" t="str">
            <v>381-2024</v>
          </cell>
          <cell r="B17">
            <v>22500000</v>
          </cell>
        </row>
        <row r="18">
          <cell r="A18" t="str">
            <v>390-2024</v>
          </cell>
          <cell r="B18">
            <v>22500000</v>
          </cell>
        </row>
        <row r="19">
          <cell r="A19" t="str">
            <v>178-2024</v>
          </cell>
          <cell r="B19">
            <v>8000000</v>
          </cell>
        </row>
        <row r="20">
          <cell r="A20" t="str">
            <v>187-2024</v>
          </cell>
          <cell r="B20">
            <v>19000000</v>
          </cell>
        </row>
        <row r="21">
          <cell r="A21" t="str">
            <v>276-2024</v>
          </cell>
          <cell r="B21">
            <v>24000000</v>
          </cell>
        </row>
        <row r="22">
          <cell r="A22" t="str">
            <v>344-2024</v>
          </cell>
          <cell r="B22">
            <v>8000000</v>
          </cell>
        </row>
        <row r="23">
          <cell r="A23" t="str">
            <v>193-2024</v>
          </cell>
          <cell r="B23">
            <v>19302400</v>
          </cell>
        </row>
        <row r="24">
          <cell r="A24" t="str">
            <v>408-2024</v>
          </cell>
          <cell r="B24">
            <v>18000000</v>
          </cell>
        </row>
        <row r="25">
          <cell r="A25" t="str">
            <v>161-2024</v>
          </cell>
          <cell r="B25">
            <v>19302400</v>
          </cell>
        </row>
        <row r="26">
          <cell r="A26" t="str">
            <v>409-2024</v>
          </cell>
          <cell r="B26">
            <v>6000000</v>
          </cell>
        </row>
        <row r="27">
          <cell r="A27" t="str">
            <v>284-2024</v>
          </cell>
          <cell r="B27">
            <v>30000000</v>
          </cell>
        </row>
        <row r="28">
          <cell r="A28" t="str">
            <v>319-2024</v>
          </cell>
          <cell r="B28">
            <v>30000000</v>
          </cell>
        </row>
        <row r="29">
          <cell r="A29" t="str">
            <v>413-2024</v>
          </cell>
          <cell r="B29">
            <v>6180000</v>
          </cell>
        </row>
        <row r="30">
          <cell r="A30" t="str">
            <v>275-2024</v>
          </cell>
          <cell r="B30">
            <v>8000000</v>
          </cell>
        </row>
        <row r="31">
          <cell r="A31" t="str">
            <v>218-2024</v>
          </cell>
          <cell r="B31">
            <v>30000000</v>
          </cell>
        </row>
        <row r="32">
          <cell r="A32" t="str">
            <v>392-2024</v>
          </cell>
          <cell r="B32">
            <v>6000000</v>
          </cell>
        </row>
        <row r="33">
          <cell r="A33" t="str">
            <v>267-2024</v>
          </cell>
          <cell r="B33">
            <v>8000000</v>
          </cell>
        </row>
        <row r="34">
          <cell r="A34" t="str">
            <v>212-2024</v>
          </cell>
          <cell r="B34">
            <v>8000000</v>
          </cell>
        </row>
        <row r="35">
          <cell r="A35" t="str">
            <v>322-2024</v>
          </cell>
          <cell r="B35">
            <v>8000000</v>
          </cell>
        </row>
        <row r="36">
          <cell r="A36" t="str">
            <v>361-2024</v>
          </cell>
          <cell r="B36">
            <v>6000000</v>
          </cell>
        </row>
        <row r="37">
          <cell r="A37" t="str">
            <v>391-2024</v>
          </cell>
          <cell r="B37">
            <v>6000000</v>
          </cell>
        </row>
        <row r="38">
          <cell r="A38" t="str">
            <v>176-2024</v>
          </cell>
          <cell r="B38">
            <v>30000000</v>
          </cell>
        </row>
        <row r="39">
          <cell r="A39" t="str">
            <v>162-2024</v>
          </cell>
          <cell r="B39">
            <v>8000000</v>
          </cell>
        </row>
        <row r="40">
          <cell r="A40" t="str">
            <v>394-2024</v>
          </cell>
          <cell r="B40">
            <v>6000000</v>
          </cell>
        </row>
        <row r="41">
          <cell r="A41" t="str">
            <v>378-2024</v>
          </cell>
          <cell r="B41">
            <v>18000000</v>
          </cell>
        </row>
        <row r="42">
          <cell r="A42" t="str">
            <v>398-2024</v>
          </cell>
          <cell r="B42">
            <v>14250000</v>
          </cell>
        </row>
        <row r="43">
          <cell r="A43" t="str">
            <v>164-2024</v>
          </cell>
          <cell r="B43">
            <v>19302400</v>
          </cell>
        </row>
        <row r="44">
          <cell r="A44" t="str">
            <v>281-2024</v>
          </cell>
          <cell r="B44">
            <v>19000000</v>
          </cell>
        </row>
        <row r="45">
          <cell r="A45" t="str">
            <v>279-2024</v>
          </cell>
          <cell r="B45">
            <v>8000000</v>
          </cell>
        </row>
        <row r="46">
          <cell r="A46" t="str">
            <v>197-2024</v>
          </cell>
          <cell r="B46">
            <v>19302400</v>
          </cell>
        </row>
        <row r="47">
          <cell r="A47" t="str">
            <v>160-2024</v>
          </cell>
          <cell r="B47">
            <v>8000000</v>
          </cell>
        </row>
        <row r="48">
          <cell r="A48" t="str">
            <v>271-2024</v>
          </cell>
          <cell r="B48">
            <v>8000000</v>
          </cell>
        </row>
        <row r="49">
          <cell r="A49" t="str">
            <v>215-2024</v>
          </cell>
          <cell r="B49">
            <v>19000000</v>
          </cell>
        </row>
        <row r="50">
          <cell r="A50" t="str">
            <v>285-2024</v>
          </cell>
          <cell r="B50">
            <v>8000000</v>
          </cell>
        </row>
        <row r="51">
          <cell r="A51" t="str">
            <v>268-2024</v>
          </cell>
          <cell r="B51">
            <v>8000000</v>
          </cell>
        </row>
        <row r="52">
          <cell r="A52" t="str">
            <v>165-2024</v>
          </cell>
          <cell r="B52">
            <v>8000000</v>
          </cell>
        </row>
        <row r="53">
          <cell r="A53" t="str">
            <v>321-2024</v>
          </cell>
          <cell r="B53">
            <v>24000000</v>
          </cell>
        </row>
        <row r="54">
          <cell r="A54" t="str">
            <v>219-2024</v>
          </cell>
          <cell r="B54">
            <v>8000000</v>
          </cell>
        </row>
        <row r="55">
          <cell r="A55" t="str">
            <v>228-2024</v>
          </cell>
          <cell r="B55">
            <v>24000000</v>
          </cell>
        </row>
        <row r="56">
          <cell r="A56" t="str">
            <v>177-2024</v>
          </cell>
          <cell r="B56">
            <v>8000000</v>
          </cell>
        </row>
        <row r="57">
          <cell r="A57" t="str">
            <v>163-2024</v>
          </cell>
          <cell r="B57">
            <v>8000000</v>
          </cell>
        </row>
        <row r="58">
          <cell r="A58" t="str">
            <v>253-2024</v>
          </cell>
          <cell r="B58">
            <v>8000000</v>
          </cell>
        </row>
        <row r="59">
          <cell r="A59" t="str">
            <v>183-2024</v>
          </cell>
          <cell r="B59">
            <v>24000000</v>
          </cell>
        </row>
        <row r="60">
          <cell r="A60" t="str">
            <v>180-2024</v>
          </cell>
          <cell r="B60">
            <v>19000000</v>
          </cell>
        </row>
        <row r="61">
          <cell r="A61" t="str">
            <v>243-2024</v>
          </cell>
          <cell r="B61">
            <v>19302400</v>
          </cell>
        </row>
        <row r="62">
          <cell r="A62" t="str">
            <v>402-2024</v>
          </cell>
          <cell r="B62">
            <v>14476800</v>
          </cell>
        </row>
        <row r="63">
          <cell r="A63" t="str">
            <v>186-2024</v>
          </cell>
          <cell r="B63">
            <v>19302400</v>
          </cell>
        </row>
        <row r="64">
          <cell r="A64" t="str">
            <v>154-2024</v>
          </cell>
          <cell r="B64">
            <v>19000000</v>
          </cell>
        </row>
        <row r="65">
          <cell r="A65" t="str">
            <v>415-2024</v>
          </cell>
          <cell r="B65">
            <v>22500000</v>
          </cell>
        </row>
        <row r="66">
          <cell r="A66" t="str">
            <v>383-2024</v>
          </cell>
          <cell r="B66">
            <v>6000000</v>
          </cell>
        </row>
        <row r="67">
          <cell r="A67" t="str">
            <v>396-2024</v>
          </cell>
          <cell r="B67">
            <v>14476800</v>
          </cell>
        </row>
        <row r="68">
          <cell r="A68" t="str">
            <v>196-2024</v>
          </cell>
          <cell r="B68">
            <v>24000000</v>
          </cell>
        </row>
        <row r="69">
          <cell r="A69" t="str">
            <v>213-2024</v>
          </cell>
          <cell r="B69">
            <v>24000000</v>
          </cell>
        </row>
        <row r="70">
          <cell r="A70" t="str">
            <v>222-2024</v>
          </cell>
          <cell r="B70">
            <v>8000000</v>
          </cell>
        </row>
        <row r="71">
          <cell r="A71" t="str">
            <v>203-2024</v>
          </cell>
          <cell r="B71">
            <v>8000000</v>
          </cell>
        </row>
        <row r="72">
          <cell r="A72" t="str">
            <v>184-2024</v>
          </cell>
          <cell r="B72">
            <v>19000000</v>
          </cell>
        </row>
        <row r="73">
          <cell r="A73" t="str">
            <v>400-2024</v>
          </cell>
          <cell r="B73">
            <v>6000000</v>
          </cell>
        </row>
        <row r="74">
          <cell r="A74" t="str">
            <v>216-2024</v>
          </cell>
          <cell r="B74">
            <v>19000000</v>
          </cell>
        </row>
        <row r="75">
          <cell r="A75" t="str">
            <v>147-2024</v>
          </cell>
          <cell r="B75">
            <v>30000000</v>
          </cell>
        </row>
        <row r="76">
          <cell r="A76" t="str">
            <v>232-2024</v>
          </cell>
          <cell r="B76">
            <v>30000000</v>
          </cell>
        </row>
        <row r="77">
          <cell r="A77" t="str">
            <v>199-2024</v>
          </cell>
          <cell r="B77">
            <v>30000000</v>
          </cell>
        </row>
        <row r="78">
          <cell r="A78" t="str">
            <v>206-2024</v>
          </cell>
          <cell r="B78">
            <v>30000000</v>
          </cell>
        </row>
        <row r="79">
          <cell r="A79" t="str">
            <v>265-2024</v>
          </cell>
          <cell r="B79">
            <v>373914100</v>
          </cell>
        </row>
        <row r="80">
          <cell r="A80" t="str">
            <v>477-2024</v>
          </cell>
          <cell r="B80">
            <v>3733333.33</v>
          </cell>
        </row>
        <row r="81">
          <cell r="A81" t="str">
            <v>223-2024</v>
          </cell>
          <cell r="B81">
            <v>19000000</v>
          </cell>
        </row>
        <row r="82">
          <cell r="A82" t="str">
            <v>244-2024</v>
          </cell>
          <cell r="B82">
            <v>8000000</v>
          </cell>
        </row>
        <row r="83">
          <cell r="A83" t="str">
            <v>412-2024</v>
          </cell>
          <cell r="B83">
            <v>6000000</v>
          </cell>
        </row>
        <row r="84">
          <cell r="A84" t="str">
            <v>220-2024</v>
          </cell>
          <cell r="B84">
            <v>19302400</v>
          </cell>
        </row>
        <row r="85">
          <cell r="A85" t="str">
            <v>205-2024</v>
          </cell>
          <cell r="B85">
            <v>19302400</v>
          </cell>
        </row>
        <row r="86">
          <cell r="A86" t="str">
            <v>192-2024</v>
          </cell>
          <cell r="B86">
            <v>8000000</v>
          </cell>
        </row>
        <row r="87">
          <cell r="A87" t="str">
            <v>229-2024</v>
          </cell>
          <cell r="B87">
            <v>8000000</v>
          </cell>
        </row>
        <row r="88">
          <cell r="A88" t="str">
            <v>173-2024</v>
          </cell>
          <cell r="B88">
            <v>8000000</v>
          </cell>
        </row>
        <row r="89">
          <cell r="A89" t="str">
            <v>282-2024</v>
          </cell>
          <cell r="B89">
            <v>8000000</v>
          </cell>
        </row>
        <row r="90">
          <cell r="A90" t="str">
            <v>221-2024</v>
          </cell>
          <cell r="B90">
            <v>8000000</v>
          </cell>
        </row>
        <row r="91">
          <cell r="A91" t="str">
            <v>471-2024</v>
          </cell>
          <cell r="B91">
            <v>4000000</v>
          </cell>
        </row>
        <row r="92">
          <cell r="A92" t="str">
            <v>251-2024</v>
          </cell>
          <cell r="B92">
            <v>8000000</v>
          </cell>
        </row>
        <row r="93">
          <cell r="A93" t="str">
            <v>210-2024</v>
          </cell>
          <cell r="B93">
            <v>22500000</v>
          </cell>
        </row>
        <row r="94">
          <cell r="A94" t="str">
            <v>254-2024</v>
          </cell>
          <cell r="B94">
            <v>8000000</v>
          </cell>
        </row>
        <row r="95">
          <cell r="A95" t="str">
            <v>367-2024</v>
          </cell>
          <cell r="B95">
            <v>6000000</v>
          </cell>
        </row>
        <row r="96">
          <cell r="A96" t="str">
            <v>473-2024</v>
          </cell>
          <cell r="B96">
            <v>4000000</v>
          </cell>
        </row>
        <row r="97">
          <cell r="A97" t="str">
            <v>149-2024</v>
          </cell>
          <cell r="B97">
            <v>8000000</v>
          </cell>
        </row>
        <row r="98">
          <cell r="A98" t="str">
            <v>368-2024</v>
          </cell>
          <cell r="B98">
            <v>6000000</v>
          </cell>
        </row>
        <row r="99">
          <cell r="A99" t="str">
            <v>453-2024</v>
          </cell>
          <cell r="B99">
            <v>4000000</v>
          </cell>
        </row>
        <row r="100">
          <cell r="A100" t="str">
            <v>239-2024</v>
          </cell>
          <cell r="B100">
            <v>8000000</v>
          </cell>
        </row>
        <row r="101">
          <cell r="A101" t="str">
            <v>246-2024</v>
          </cell>
          <cell r="B101">
            <v>8000000</v>
          </cell>
        </row>
        <row r="102">
          <cell r="A102" t="str">
            <v>247-2024</v>
          </cell>
          <cell r="B102">
            <v>8000000</v>
          </cell>
        </row>
        <row r="103">
          <cell r="A103" t="str">
            <v>308-2024</v>
          </cell>
          <cell r="B103">
            <v>8000000</v>
          </cell>
        </row>
        <row r="104">
          <cell r="A104" t="str">
            <v>364-2024</v>
          </cell>
          <cell r="B104">
            <v>6000000</v>
          </cell>
        </row>
        <row r="105">
          <cell r="A105" t="str">
            <v>406-2024</v>
          </cell>
          <cell r="B105">
            <v>18000000</v>
          </cell>
        </row>
        <row r="106">
          <cell r="A106" t="str">
            <v>256-2024</v>
          </cell>
          <cell r="B106">
            <v>8000000</v>
          </cell>
        </row>
        <row r="107">
          <cell r="A107" t="str">
            <v>360-2024</v>
          </cell>
          <cell r="B107">
            <v>14250000</v>
          </cell>
        </row>
        <row r="108">
          <cell r="A108" t="str">
            <v>287-2024</v>
          </cell>
          <cell r="B108">
            <v>19000000</v>
          </cell>
        </row>
        <row r="109">
          <cell r="A109" t="str">
            <v>472-2024</v>
          </cell>
          <cell r="B109">
            <v>4000000</v>
          </cell>
        </row>
        <row r="110">
          <cell r="A110" t="str">
            <v>262-2024</v>
          </cell>
          <cell r="B110">
            <v>8000000</v>
          </cell>
        </row>
        <row r="111">
          <cell r="A111" t="str">
            <v>280-2024</v>
          </cell>
          <cell r="B111">
            <v>8000000</v>
          </cell>
        </row>
        <row r="112">
          <cell r="A112" t="str">
            <v>214-2024</v>
          </cell>
          <cell r="B112">
            <v>30000000</v>
          </cell>
        </row>
        <row r="113">
          <cell r="A113" t="str">
            <v>283-2024</v>
          </cell>
          <cell r="B113">
            <v>8000000</v>
          </cell>
        </row>
        <row r="114">
          <cell r="A114" t="str">
            <v>233-2024</v>
          </cell>
          <cell r="B114">
            <v>19000000</v>
          </cell>
        </row>
        <row r="115">
          <cell r="A115" t="str">
            <v>151-2024</v>
          </cell>
          <cell r="B115">
            <v>8000000</v>
          </cell>
        </row>
        <row r="116">
          <cell r="A116" t="str">
            <v>157-2024</v>
          </cell>
          <cell r="B116">
            <v>30000000</v>
          </cell>
        </row>
        <row r="117">
          <cell r="A117" t="str">
            <v>261-2024</v>
          </cell>
          <cell r="B117">
            <v>19302400</v>
          </cell>
        </row>
        <row r="118">
          <cell r="A118" t="str">
            <v>366-2024</v>
          </cell>
          <cell r="B118">
            <v>6000000</v>
          </cell>
        </row>
        <row r="119">
          <cell r="A119" t="str">
            <v>376-2024</v>
          </cell>
          <cell r="B119">
            <v>14476800</v>
          </cell>
        </row>
        <row r="120">
          <cell r="A120" t="str">
            <v>217-2024</v>
          </cell>
          <cell r="B120">
            <v>19302400</v>
          </cell>
        </row>
        <row r="121">
          <cell r="A121" t="str">
            <v>236-2024</v>
          </cell>
          <cell r="B121">
            <v>19000000</v>
          </cell>
        </row>
        <row r="122">
          <cell r="A122" t="str">
            <v>362-2024</v>
          </cell>
          <cell r="B122">
            <v>6000000</v>
          </cell>
        </row>
        <row r="123">
          <cell r="A123" t="str">
            <v>375-2024</v>
          </cell>
          <cell r="B123">
            <v>14250000</v>
          </cell>
        </row>
        <row r="124">
          <cell r="A124" t="str">
            <v>478-2024</v>
          </cell>
          <cell r="B124">
            <v>4000000</v>
          </cell>
        </row>
        <row r="125">
          <cell r="A125" t="str">
            <v>491-2024</v>
          </cell>
          <cell r="B125">
            <v>4000000</v>
          </cell>
        </row>
        <row r="126">
          <cell r="A126" t="str">
            <v>492-2024</v>
          </cell>
          <cell r="B126">
            <v>4000000</v>
          </cell>
        </row>
        <row r="127">
          <cell r="A127" t="str">
            <v>202-2024</v>
          </cell>
          <cell r="B127">
            <v>24000000</v>
          </cell>
        </row>
        <row r="128">
          <cell r="A128" t="str">
            <v>374-2024</v>
          </cell>
          <cell r="B128">
            <v>6000000</v>
          </cell>
        </row>
        <row r="129">
          <cell r="A129" t="str">
            <v>242-2024</v>
          </cell>
          <cell r="B129">
            <v>12000000</v>
          </cell>
        </row>
        <row r="130">
          <cell r="A130" t="str">
            <v>286-2024</v>
          </cell>
          <cell r="B130">
            <v>19000000</v>
          </cell>
        </row>
        <row r="131">
          <cell r="A131" t="str">
            <v>211-2024</v>
          </cell>
          <cell r="B131">
            <v>257341657</v>
          </cell>
        </row>
        <row r="132">
          <cell r="A132" t="str">
            <v>259-2024</v>
          </cell>
          <cell r="B132">
            <v>8000000</v>
          </cell>
        </row>
        <row r="133">
          <cell r="A133" t="str">
            <v>200-2024</v>
          </cell>
          <cell r="B133">
            <v>19302400</v>
          </cell>
        </row>
        <row r="134">
          <cell r="A134" t="str">
            <v>240-2024</v>
          </cell>
          <cell r="B134">
            <v>19302400</v>
          </cell>
        </row>
        <row r="135">
          <cell r="A135" t="str">
            <v>365-2024</v>
          </cell>
          <cell r="B135">
            <v>6000000</v>
          </cell>
        </row>
        <row r="136">
          <cell r="A136" t="str">
            <v>476-2024</v>
          </cell>
          <cell r="B136">
            <v>4000000</v>
          </cell>
        </row>
        <row r="137">
          <cell r="A137" t="str">
            <v>460-2024</v>
          </cell>
          <cell r="B137">
            <v>4000000</v>
          </cell>
        </row>
        <row r="138">
          <cell r="A138" t="str">
            <v>474-2024</v>
          </cell>
          <cell r="B138">
            <v>4000000</v>
          </cell>
        </row>
        <row r="139">
          <cell r="A139" t="str">
            <v>461-2024</v>
          </cell>
          <cell r="B139">
            <v>4000000</v>
          </cell>
        </row>
        <row r="140">
          <cell r="A140" t="str">
            <v>438-2024</v>
          </cell>
          <cell r="B140">
            <v>4000000</v>
          </cell>
        </row>
        <row r="141">
          <cell r="A141" t="str">
            <v>238-2024</v>
          </cell>
          <cell r="B141">
            <v>8000000</v>
          </cell>
        </row>
        <row r="142">
          <cell r="A142" t="str">
            <v>182-2024</v>
          </cell>
          <cell r="B142">
            <v>8000000</v>
          </cell>
        </row>
        <row r="143">
          <cell r="A143" t="str">
            <v>496-2024</v>
          </cell>
          <cell r="B143">
            <v>4000000</v>
          </cell>
        </row>
        <row r="144">
          <cell r="A144" t="str">
            <v>230-2024</v>
          </cell>
          <cell r="B144">
            <v>19302400</v>
          </cell>
        </row>
        <row r="145">
          <cell r="A145" t="str">
            <v>249-2024</v>
          </cell>
          <cell r="B145">
            <v>8000000</v>
          </cell>
        </row>
        <row r="146">
          <cell r="A146" t="str">
            <v>403-2024</v>
          </cell>
          <cell r="B146">
            <v>14476800</v>
          </cell>
        </row>
        <row r="147">
          <cell r="A147" t="str">
            <v>264-2024</v>
          </cell>
          <cell r="B147">
            <v>8000000</v>
          </cell>
        </row>
        <row r="148">
          <cell r="A148" t="str">
            <v>493-2024</v>
          </cell>
          <cell r="B148">
            <v>4000000</v>
          </cell>
        </row>
        <row r="149">
          <cell r="A149" t="str">
            <v>470-2024</v>
          </cell>
          <cell r="B149">
            <v>4000000</v>
          </cell>
        </row>
        <row r="150">
          <cell r="A150" t="str">
            <v>497-2024</v>
          </cell>
          <cell r="B150">
            <v>4000000</v>
          </cell>
        </row>
        <row r="151">
          <cell r="A151" t="str">
            <v>418-2024</v>
          </cell>
          <cell r="B151">
            <v>22500000</v>
          </cell>
        </row>
        <row r="152">
          <cell r="A152" t="str">
            <v>387-2024</v>
          </cell>
          <cell r="B152">
            <v>18000000</v>
          </cell>
        </row>
        <row r="153">
          <cell r="A153" t="str">
            <v>485-2024</v>
          </cell>
          <cell r="B153">
            <v>4000000</v>
          </cell>
        </row>
        <row r="154">
          <cell r="A154" t="str">
            <v>467-2024</v>
          </cell>
          <cell r="B154">
            <v>4000000</v>
          </cell>
        </row>
        <row r="155">
          <cell r="A155" t="str">
            <v>487-2024</v>
          </cell>
          <cell r="B155">
            <v>4000000</v>
          </cell>
        </row>
        <row r="156">
          <cell r="A156" t="str">
            <v>452-2024</v>
          </cell>
          <cell r="B156">
            <v>4000000</v>
          </cell>
        </row>
        <row r="157">
          <cell r="A157" t="str">
            <v>255-2024</v>
          </cell>
          <cell r="B157">
            <v>8000000</v>
          </cell>
        </row>
        <row r="158">
          <cell r="A158" t="str">
            <v>525-2024</v>
          </cell>
          <cell r="B158">
            <v>2625000</v>
          </cell>
        </row>
        <row r="159">
          <cell r="A159" t="str">
            <v>480-2024</v>
          </cell>
          <cell r="B159">
            <v>4000000</v>
          </cell>
        </row>
        <row r="160">
          <cell r="A160" t="str">
            <v>479-2024</v>
          </cell>
          <cell r="B160">
            <v>4000000</v>
          </cell>
        </row>
        <row r="161">
          <cell r="A161" t="str">
            <v>167-2024</v>
          </cell>
          <cell r="B161">
            <v>24000000</v>
          </cell>
        </row>
        <row r="162">
          <cell r="A162" t="str">
            <v>234-2024</v>
          </cell>
          <cell r="B162">
            <v>8000000</v>
          </cell>
        </row>
        <row r="163">
          <cell r="A163" t="str">
            <v>237-2024</v>
          </cell>
          <cell r="B163">
            <v>19302400</v>
          </cell>
        </row>
        <row r="164">
          <cell r="A164" t="str">
            <v>260-2024</v>
          </cell>
          <cell r="B164">
            <v>8000000</v>
          </cell>
        </row>
        <row r="165">
          <cell r="A165" t="str">
            <v>386-2024</v>
          </cell>
          <cell r="B165">
            <v>18000000</v>
          </cell>
        </row>
        <row r="166">
          <cell r="A166" t="str">
            <v>490-2024</v>
          </cell>
          <cell r="B166">
            <v>4000000</v>
          </cell>
        </row>
        <row r="167">
          <cell r="A167" t="str">
            <v>486-2024</v>
          </cell>
          <cell r="B167">
            <v>4000000</v>
          </cell>
        </row>
        <row r="168">
          <cell r="A168" t="str">
            <v>382-2024</v>
          </cell>
          <cell r="B168">
            <v>18000000</v>
          </cell>
        </row>
        <row r="169">
          <cell r="A169" t="str">
            <v>484-2024</v>
          </cell>
          <cell r="B169">
            <v>4000000</v>
          </cell>
        </row>
        <row r="170">
          <cell r="A170" t="str">
            <v>489-2024</v>
          </cell>
          <cell r="B170">
            <v>4000000</v>
          </cell>
        </row>
        <row r="171">
          <cell r="A171" t="str">
            <v>258-2024</v>
          </cell>
          <cell r="B171">
            <v>8000000</v>
          </cell>
        </row>
        <row r="172">
          <cell r="A172" t="str">
            <v>377-2024</v>
          </cell>
          <cell r="B172">
            <v>14250000</v>
          </cell>
        </row>
        <row r="173">
          <cell r="A173" t="str">
            <v>272-2024</v>
          </cell>
          <cell r="B173">
            <v>8000000</v>
          </cell>
        </row>
        <row r="174">
          <cell r="A174" t="str">
            <v>257-2024</v>
          </cell>
          <cell r="B174">
            <v>19000000</v>
          </cell>
        </row>
        <row r="175">
          <cell r="A175" t="str">
            <v>495-2024</v>
          </cell>
          <cell r="B175">
            <v>4000000</v>
          </cell>
        </row>
        <row r="176">
          <cell r="A176" t="str">
            <v>385-2024</v>
          </cell>
          <cell r="B176">
            <v>22500000</v>
          </cell>
        </row>
        <row r="177">
          <cell r="A177" t="str">
            <v>270-2024</v>
          </cell>
          <cell r="B177">
            <v>30000000</v>
          </cell>
        </row>
        <row r="178">
          <cell r="A178" t="str">
            <v>231-2024</v>
          </cell>
          <cell r="B178">
            <v>14476800</v>
          </cell>
        </row>
        <row r="179">
          <cell r="A179" t="str">
            <v>209-2024</v>
          </cell>
          <cell r="B179">
            <v>19302400</v>
          </cell>
        </row>
        <row r="180">
          <cell r="A180" t="str">
            <v>277-2024</v>
          </cell>
          <cell r="B180">
            <v>8000000</v>
          </cell>
        </row>
        <row r="181">
          <cell r="A181" t="str">
            <v>194-2024</v>
          </cell>
          <cell r="B181">
            <v>8000000</v>
          </cell>
        </row>
        <row r="182">
          <cell r="A182" t="str">
            <v>500-2024</v>
          </cell>
          <cell r="B182">
            <v>4000000</v>
          </cell>
        </row>
        <row r="183">
          <cell r="A183" t="str">
            <v>469-2024</v>
          </cell>
          <cell r="B183">
            <v>4000000</v>
          </cell>
        </row>
        <row r="184">
          <cell r="A184" t="str">
            <v>449-2024</v>
          </cell>
          <cell r="B184">
            <v>4000000</v>
          </cell>
        </row>
        <row r="185">
          <cell r="A185" t="str">
            <v>454-2024</v>
          </cell>
          <cell r="B185">
            <v>4000000</v>
          </cell>
        </row>
        <row r="186">
          <cell r="A186" t="str">
            <v>170-2024</v>
          </cell>
          <cell r="B186">
            <v>19302400</v>
          </cell>
        </row>
        <row r="187">
          <cell r="A187" t="str">
            <v>156-2024</v>
          </cell>
          <cell r="B187">
            <v>30000000</v>
          </cell>
        </row>
        <row r="188">
          <cell r="A188" t="str">
            <v>250-2024</v>
          </cell>
          <cell r="B188">
            <v>9000000</v>
          </cell>
        </row>
        <row r="189">
          <cell r="A189" t="str">
            <v>501-2024</v>
          </cell>
          <cell r="B189">
            <v>4000000</v>
          </cell>
        </row>
        <row r="190">
          <cell r="A190" t="str">
            <v>516-2024</v>
          </cell>
          <cell r="B190">
            <v>6000000</v>
          </cell>
        </row>
        <row r="191">
          <cell r="A191" t="str">
            <v>145-2024</v>
          </cell>
          <cell r="B191">
            <v>8000000</v>
          </cell>
        </row>
        <row r="192">
          <cell r="A192" t="str">
            <v>517-2024</v>
          </cell>
          <cell r="B192">
            <v>6000000</v>
          </cell>
        </row>
        <row r="193">
          <cell r="A193" t="str">
            <v>204-2024</v>
          </cell>
          <cell r="B193">
            <v>19000000</v>
          </cell>
        </row>
        <row r="194">
          <cell r="A194" t="str">
            <v>153-2024</v>
          </cell>
          <cell r="B194">
            <v>30000000</v>
          </cell>
        </row>
        <row r="195">
          <cell r="A195" t="str">
            <v>189-2024</v>
          </cell>
          <cell r="B195">
            <v>8000000</v>
          </cell>
        </row>
        <row r="196">
          <cell r="A196" t="str">
            <v>150-2024</v>
          </cell>
          <cell r="B196">
            <v>8000000</v>
          </cell>
        </row>
        <row r="197">
          <cell r="A197" t="str">
            <v>508-2024</v>
          </cell>
          <cell r="B197">
            <v>2000000</v>
          </cell>
        </row>
        <row r="198">
          <cell r="A198" t="str">
            <v>507-2024</v>
          </cell>
          <cell r="B198">
            <v>7500000</v>
          </cell>
        </row>
        <row r="199">
          <cell r="A199" t="str">
            <v>174-2024</v>
          </cell>
          <cell r="B199">
            <v>8000000</v>
          </cell>
        </row>
        <row r="200">
          <cell r="A200" t="str">
            <v>171-2024</v>
          </cell>
          <cell r="B200">
            <v>8000000</v>
          </cell>
        </row>
        <row r="201">
          <cell r="A201" t="str">
            <v>519-2024</v>
          </cell>
          <cell r="B201">
            <v>2000000</v>
          </cell>
        </row>
        <row r="202">
          <cell r="A202" t="str">
            <v>185-2024</v>
          </cell>
          <cell r="B202">
            <v>8000000</v>
          </cell>
        </row>
        <row r="203">
          <cell r="A203" t="str">
            <v>188-2024</v>
          </cell>
          <cell r="B203">
            <v>8000000</v>
          </cell>
        </row>
        <row r="204">
          <cell r="A204" t="str">
            <v>509-2024</v>
          </cell>
          <cell r="B204">
            <v>2000000</v>
          </cell>
        </row>
        <row r="205">
          <cell r="A205" t="str">
            <v>179-2024</v>
          </cell>
          <cell r="B205">
            <v>19000000</v>
          </cell>
        </row>
        <row r="206">
          <cell r="A206" t="str">
            <v>146-2024</v>
          </cell>
          <cell r="B206">
            <v>8000000</v>
          </cell>
        </row>
        <row r="207">
          <cell r="A207" t="str">
            <v>201-2024</v>
          </cell>
          <cell r="B207">
            <v>8000000</v>
          </cell>
        </row>
        <row r="208">
          <cell r="A208" t="str">
            <v>169-2024</v>
          </cell>
          <cell r="B208">
            <v>30000000</v>
          </cell>
        </row>
        <row r="209">
          <cell r="A209" t="str">
            <v>524-2024</v>
          </cell>
          <cell r="B209">
            <v>2000000</v>
          </cell>
        </row>
        <row r="210">
          <cell r="A210" t="str">
            <v>384-2024</v>
          </cell>
          <cell r="B210">
            <v>18000000</v>
          </cell>
        </row>
        <row r="211">
          <cell r="A211" t="str">
            <v>175-2024</v>
          </cell>
          <cell r="B211">
            <v>8000000</v>
          </cell>
        </row>
        <row r="212">
          <cell r="A212" t="str">
            <v>152-2024</v>
          </cell>
          <cell r="B212">
            <v>19000000</v>
          </cell>
        </row>
        <row r="213">
          <cell r="A213" t="str">
            <v>504-2024</v>
          </cell>
          <cell r="B213">
            <v>2000000</v>
          </cell>
        </row>
        <row r="214">
          <cell r="A214" t="str">
            <v>621-2024</v>
          </cell>
          <cell r="B214">
            <v>9230326</v>
          </cell>
        </row>
        <row r="215">
          <cell r="A215" t="str">
            <v>551-2024</v>
          </cell>
          <cell r="B215">
            <v>7500000</v>
          </cell>
        </row>
        <row r="216">
          <cell r="A216" t="str">
            <v>389-2024</v>
          </cell>
          <cell r="B216">
            <v>18000000</v>
          </cell>
        </row>
        <row r="217">
          <cell r="A217" t="str">
            <v>704-2024</v>
          </cell>
          <cell r="B217">
            <v>303175167</v>
          </cell>
        </row>
        <row r="218">
          <cell r="A218" t="str">
            <v>868-2024</v>
          </cell>
          <cell r="B218">
            <v>18504000</v>
          </cell>
        </row>
        <row r="219">
          <cell r="A219" t="str">
            <v>871-2024</v>
          </cell>
          <cell r="B219">
            <v>9258000</v>
          </cell>
        </row>
        <row r="220">
          <cell r="A220" t="str">
            <v>652-2024</v>
          </cell>
          <cell r="B220">
            <v>18504000</v>
          </cell>
        </row>
        <row r="221">
          <cell r="A221" t="str">
            <v>701-2024</v>
          </cell>
          <cell r="B221">
            <v>7000000</v>
          </cell>
        </row>
        <row r="222">
          <cell r="A222" t="str">
            <v>959-2024</v>
          </cell>
          <cell r="B222">
            <v>10100000</v>
          </cell>
        </row>
        <row r="223">
          <cell r="A223" t="str">
            <v>837-2024</v>
          </cell>
          <cell r="B223">
            <v>12500000</v>
          </cell>
        </row>
        <row r="224">
          <cell r="A224" t="str">
            <v>198-2025</v>
          </cell>
          <cell r="B224">
            <v>12000000</v>
          </cell>
        </row>
        <row r="225">
          <cell r="A225" t="str">
            <v>222-2025</v>
          </cell>
          <cell r="B225">
            <v>14250000</v>
          </cell>
        </row>
        <row r="226">
          <cell r="A226" t="str">
            <v>205-2025</v>
          </cell>
          <cell r="B226">
            <v>14475000</v>
          </cell>
        </row>
        <row r="227">
          <cell r="A227" t="str">
            <v>155-2025</v>
          </cell>
          <cell r="B227">
            <v>5000000</v>
          </cell>
        </row>
        <row r="228">
          <cell r="A228" t="str">
            <v>657-2024</v>
          </cell>
          <cell r="B228">
            <v>22620000</v>
          </cell>
        </row>
        <row r="229">
          <cell r="A229" t="str">
            <v>667-2024</v>
          </cell>
          <cell r="B229">
            <v>18000000</v>
          </cell>
        </row>
        <row r="230">
          <cell r="A230" t="str">
            <v>690-2024</v>
          </cell>
          <cell r="B230">
            <v>18000000</v>
          </cell>
        </row>
        <row r="231">
          <cell r="A231" t="str">
            <v>655-2024</v>
          </cell>
          <cell r="B231">
            <v>22620000</v>
          </cell>
        </row>
        <row r="232">
          <cell r="A232" t="str">
            <v>760-2024</v>
          </cell>
          <cell r="B232">
            <v>18000000</v>
          </cell>
        </row>
        <row r="233">
          <cell r="A233" t="str">
            <v>663-2024</v>
          </cell>
          <cell r="B233">
            <v>22620000</v>
          </cell>
        </row>
        <row r="234">
          <cell r="A234" t="str">
            <v>750-2024</v>
          </cell>
          <cell r="B234">
            <v>9000000</v>
          </cell>
        </row>
        <row r="235">
          <cell r="A235" t="str">
            <v>719-2024</v>
          </cell>
          <cell r="B235">
            <v>9000000</v>
          </cell>
        </row>
        <row r="236">
          <cell r="A236" t="str">
            <v>703-2024</v>
          </cell>
          <cell r="B236">
            <v>9000000</v>
          </cell>
        </row>
        <row r="237">
          <cell r="A237" t="str">
            <v>799-2024</v>
          </cell>
          <cell r="B237">
            <v>9000000</v>
          </cell>
        </row>
        <row r="238">
          <cell r="A238" t="str">
            <v>738-2024</v>
          </cell>
          <cell r="B238">
            <v>18000000</v>
          </cell>
        </row>
        <row r="239">
          <cell r="A239" t="str">
            <v>672-2024</v>
          </cell>
          <cell r="B239">
            <v>18000000</v>
          </cell>
        </row>
        <row r="240">
          <cell r="A240" t="str">
            <v>731-2024</v>
          </cell>
          <cell r="B240">
            <v>9000000</v>
          </cell>
        </row>
        <row r="241">
          <cell r="A241" t="str">
            <v>898-2024</v>
          </cell>
          <cell r="B241">
            <v>14250000</v>
          </cell>
        </row>
        <row r="242">
          <cell r="A242" t="str">
            <v>851-2024</v>
          </cell>
          <cell r="B242">
            <v>18000000</v>
          </cell>
        </row>
        <row r="243">
          <cell r="A243" t="str">
            <v>945-2024</v>
          </cell>
          <cell r="B243">
            <v>9853200</v>
          </cell>
        </row>
        <row r="244">
          <cell r="A244" t="str">
            <v>741-2024</v>
          </cell>
          <cell r="B244">
            <v>18000000</v>
          </cell>
        </row>
        <row r="245">
          <cell r="A245" t="str">
            <v>819-2024</v>
          </cell>
          <cell r="B245">
            <v>18000000</v>
          </cell>
        </row>
        <row r="246">
          <cell r="A246" t="str">
            <v>822-2024</v>
          </cell>
          <cell r="B246">
            <v>14475000</v>
          </cell>
        </row>
        <row r="247">
          <cell r="A247" t="str">
            <v>817-2024</v>
          </cell>
          <cell r="B247">
            <v>14475000</v>
          </cell>
        </row>
        <row r="248">
          <cell r="A248" t="str">
            <v>639-2024</v>
          </cell>
          <cell r="B248">
            <v>14250000</v>
          </cell>
        </row>
        <row r="249">
          <cell r="A249" t="str">
            <v>722-2024</v>
          </cell>
          <cell r="B249">
            <v>14475000</v>
          </cell>
        </row>
        <row r="250">
          <cell r="A250" t="str">
            <v>642-2024</v>
          </cell>
          <cell r="B250">
            <v>14250000</v>
          </cell>
        </row>
        <row r="251">
          <cell r="A251" t="str">
            <v>659-2024</v>
          </cell>
          <cell r="B251">
            <v>14475000</v>
          </cell>
        </row>
        <row r="252">
          <cell r="A252" t="str">
            <v>739-2024</v>
          </cell>
          <cell r="B252">
            <v>9000000</v>
          </cell>
        </row>
        <row r="253">
          <cell r="A253" t="str">
            <v>730-2024</v>
          </cell>
          <cell r="B253">
            <v>9000000</v>
          </cell>
        </row>
        <row r="254">
          <cell r="A254" t="str">
            <v>895-2024</v>
          </cell>
          <cell r="B254">
            <v>7500000</v>
          </cell>
        </row>
        <row r="255">
          <cell r="A255" t="str">
            <v>689-2024</v>
          </cell>
          <cell r="B255">
            <v>9000000</v>
          </cell>
        </row>
        <row r="256">
          <cell r="A256" t="str">
            <v>681-2024</v>
          </cell>
          <cell r="B256">
            <v>18000000</v>
          </cell>
        </row>
        <row r="257">
          <cell r="A257" t="str">
            <v>712-2024</v>
          </cell>
          <cell r="B257">
            <v>18000000</v>
          </cell>
        </row>
        <row r="258">
          <cell r="A258" t="str">
            <v>789-2024</v>
          </cell>
          <cell r="B258">
            <v>22620000</v>
          </cell>
        </row>
        <row r="259">
          <cell r="A259" t="str">
            <v>888-2024</v>
          </cell>
          <cell r="B259">
            <v>162191950</v>
          </cell>
        </row>
        <row r="260">
          <cell r="A260" t="str">
            <v>889-2024</v>
          </cell>
          <cell r="B260">
            <v>136733250</v>
          </cell>
        </row>
        <row r="261">
          <cell r="A261" t="str">
            <v>890-2024</v>
          </cell>
          <cell r="B261">
            <v>245647900</v>
          </cell>
        </row>
        <row r="262">
          <cell r="A262" t="str">
            <v>759-2024</v>
          </cell>
          <cell r="B262">
            <v>9000000</v>
          </cell>
        </row>
        <row r="263">
          <cell r="A263" t="str">
            <v>777-2024</v>
          </cell>
          <cell r="B263">
            <v>9000000</v>
          </cell>
        </row>
        <row r="264">
          <cell r="A264" t="str">
            <v>796-2024</v>
          </cell>
          <cell r="B264">
            <v>7500000</v>
          </cell>
        </row>
        <row r="265">
          <cell r="A265" t="str">
            <v>629-2024</v>
          </cell>
          <cell r="B265">
            <v>19800000</v>
          </cell>
        </row>
        <row r="266">
          <cell r="A266" t="str">
            <v>698-2024</v>
          </cell>
          <cell r="B266">
            <v>9000000</v>
          </cell>
        </row>
        <row r="267">
          <cell r="A267" t="str">
            <v>891-2024</v>
          </cell>
          <cell r="B267">
            <v>140528900</v>
          </cell>
        </row>
        <row r="268">
          <cell r="A268" t="str">
            <v>647-2024</v>
          </cell>
          <cell r="B268">
            <v>22620000</v>
          </cell>
        </row>
        <row r="269">
          <cell r="A269" t="str">
            <v>646-2024</v>
          </cell>
          <cell r="B269">
            <v>22620000</v>
          </cell>
        </row>
        <row r="270">
          <cell r="A270" t="str">
            <v>775-2024</v>
          </cell>
          <cell r="B270">
            <v>14475000</v>
          </cell>
        </row>
        <row r="271">
          <cell r="A271" t="str">
            <v>638-2024</v>
          </cell>
          <cell r="B271">
            <v>14475000</v>
          </cell>
        </row>
        <row r="272">
          <cell r="A272" t="str">
            <v>947-2024</v>
          </cell>
          <cell r="B272">
            <v>9397169</v>
          </cell>
        </row>
        <row r="273">
          <cell r="A273" t="str">
            <v>961-2024</v>
          </cell>
          <cell r="B273">
            <v>12832812.119999999</v>
          </cell>
        </row>
        <row r="274">
          <cell r="A274" t="str">
            <v>964-2024</v>
          </cell>
          <cell r="B274">
            <v>35960040</v>
          </cell>
        </row>
        <row r="275">
          <cell r="A275" t="str">
            <v>967-2024</v>
          </cell>
          <cell r="B275">
            <v>2283157</v>
          </cell>
        </row>
        <row r="276">
          <cell r="A276" t="str">
            <v>792-2024</v>
          </cell>
          <cell r="B276">
            <v>9000000</v>
          </cell>
        </row>
        <row r="277">
          <cell r="A277" t="str">
            <v>765-2024</v>
          </cell>
          <cell r="B277">
            <v>9000000</v>
          </cell>
        </row>
        <row r="278">
          <cell r="A278" t="str">
            <v>729-2024</v>
          </cell>
          <cell r="B278">
            <v>22620000</v>
          </cell>
        </row>
        <row r="279">
          <cell r="A279" t="str">
            <v>648-2024</v>
          </cell>
          <cell r="B279">
            <v>18000000</v>
          </cell>
        </row>
        <row r="280">
          <cell r="A280" t="str">
            <v>801-2024</v>
          </cell>
          <cell r="B280">
            <v>7500000</v>
          </cell>
        </row>
        <row r="281">
          <cell r="A281" t="str">
            <v>687-2024</v>
          </cell>
          <cell r="B281">
            <v>14250000</v>
          </cell>
        </row>
        <row r="282">
          <cell r="A282" t="str">
            <v>633-2024</v>
          </cell>
          <cell r="B282">
            <v>14250000</v>
          </cell>
        </row>
        <row r="283">
          <cell r="A283" t="str">
            <v>754-2024</v>
          </cell>
          <cell r="B283">
            <v>9000000</v>
          </cell>
        </row>
        <row r="284">
          <cell r="A284" t="str">
            <v>755-2024</v>
          </cell>
          <cell r="B284">
            <v>7500000</v>
          </cell>
        </row>
        <row r="285">
          <cell r="A285" t="str">
            <v>978-2024</v>
          </cell>
          <cell r="B285">
            <v>31498000</v>
          </cell>
        </row>
        <row r="286">
          <cell r="A286" t="str">
            <v>820-2024</v>
          </cell>
          <cell r="B286">
            <v>18000000</v>
          </cell>
        </row>
        <row r="287">
          <cell r="A287" t="str">
            <v>713-2024</v>
          </cell>
          <cell r="B287">
            <v>18000000</v>
          </cell>
        </row>
        <row r="288">
          <cell r="A288" t="str">
            <v>640-2024</v>
          </cell>
          <cell r="B288">
            <v>14250000</v>
          </cell>
        </row>
        <row r="289">
          <cell r="A289" t="str">
            <v>836-2024</v>
          </cell>
          <cell r="B289">
            <v>7500000</v>
          </cell>
        </row>
        <row r="290">
          <cell r="A290" t="str">
            <v>795-2024</v>
          </cell>
          <cell r="B290">
            <v>9000000</v>
          </cell>
        </row>
        <row r="291">
          <cell r="A291" t="str">
            <v>776-2024</v>
          </cell>
          <cell r="B291">
            <v>9000000</v>
          </cell>
        </row>
        <row r="292">
          <cell r="A292" t="str">
            <v>637-2024</v>
          </cell>
          <cell r="B292">
            <v>14250000</v>
          </cell>
        </row>
        <row r="293">
          <cell r="A293" t="str">
            <v>840-2024</v>
          </cell>
          <cell r="B293">
            <v>9000000</v>
          </cell>
        </row>
        <row r="294">
          <cell r="A294" t="str">
            <v>697-2024</v>
          </cell>
          <cell r="B294">
            <v>9000000</v>
          </cell>
        </row>
        <row r="295">
          <cell r="A295" t="str">
            <v>733-2024</v>
          </cell>
          <cell r="B295">
            <v>9000000</v>
          </cell>
        </row>
        <row r="296">
          <cell r="A296" t="str">
            <v>798-2024</v>
          </cell>
          <cell r="B296">
            <v>9000000</v>
          </cell>
        </row>
        <row r="297">
          <cell r="A297" t="str">
            <v>700-2024</v>
          </cell>
          <cell r="B297">
            <v>14475000</v>
          </cell>
        </row>
        <row r="298">
          <cell r="A298" t="str">
            <v>753-2024</v>
          </cell>
          <cell r="B298">
            <v>9000000</v>
          </cell>
        </row>
        <row r="299">
          <cell r="A299" t="str">
            <v>645-2024</v>
          </cell>
          <cell r="B299">
            <v>18000000</v>
          </cell>
        </row>
        <row r="300">
          <cell r="A300" t="str">
            <v>809-2024</v>
          </cell>
          <cell r="B300">
            <v>9000000</v>
          </cell>
        </row>
        <row r="301">
          <cell r="A301" t="str">
            <v>847-2024</v>
          </cell>
          <cell r="B301">
            <v>9000000</v>
          </cell>
        </row>
        <row r="302">
          <cell r="A302" t="str">
            <v>846-2024</v>
          </cell>
          <cell r="B302">
            <v>9000000</v>
          </cell>
        </row>
        <row r="303">
          <cell r="A303" t="str">
            <v>852-2024</v>
          </cell>
          <cell r="B303">
            <v>9000000</v>
          </cell>
        </row>
        <row r="304">
          <cell r="A304" t="str">
            <v>896-2024</v>
          </cell>
          <cell r="B304">
            <v>7500000</v>
          </cell>
        </row>
        <row r="305">
          <cell r="A305" t="str">
            <v>660-2024</v>
          </cell>
          <cell r="B305">
            <v>14475000</v>
          </cell>
        </row>
        <row r="306">
          <cell r="A306" t="str">
            <v>726-2024</v>
          </cell>
          <cell r="B306">
            <v>9000000</v>
          </cell>
        </row>
        <row r="307">
          <cell r="A307" t="str">
            <v>901-2024</v>
          </cell>
          <cell r="B307">
            <v>9000000</v>
          </cell>
        </row>
        <row r="308">
          <cell r="A308" t="str">
            <v>913-2024</v>
          </cell>
          <cell r="B308">
            <v>7500000</v>
          </cell>
        </row>
        <row r="309">
          <cell r="A309" t="str">
            <v>812-2024</v>
          </cell>
          <cell r="B309">
            <v>9000000</v>
          </cell>
        </row>
        <row r="310">
          <cell r="A310" t="str">
            <v>842-2024</v>
          </cell>
          <cell r="B310">
            <v>14475000</v>
          </cell>
        </row>
        <row r="311">
          <cell r="A311" t="str">
            <v>651-2024</v>
          </cell>
          <cell r="B311">
            <v>22620000</v>
          </cell>
        </row>
        <row r="312">
          <cell r="A312" t="str">
            <v>811-2024</v>
          </cell>
          <cell r="B312">
            <v>7500000</v>
          </cell>
        </row>
        <row r="313">
          <cell r="A313" t="str">
            <v>653-2024</v>
          </cell>
          <cell r="B313">
            <v>22620000</v>
          </cell>
        </row>
        <row r="314">
          <cell r="A314" t="str">
            <v>963-2024</v>
          </cell>
          <cell r="B314">
            <v>6800000</v>
          </cell>
        </row>
        <row r="315">
          <cell r="A315" t="str">
            <v>857-2024</v>
          </cell>
          <cell r="B315">
            <v>14475000</v>
          </cell>
        </row>
        <row r="316">
          <cell r="A316" t="str">
            <v>802-2024</v>
          </cell>
          <cell r="B316">
            <v>9000000</v>
          </cell>
        </row>
        <row r="317">
          <cell r="A317" t="str">
            <v>778-2024</v>
          </cell>
          <cell r="B317">
            <v>14250000</v>
          </cell>
        </row>
        <row r="318">
          <cell r="A318" t="str">
            <v>641-2024</v>
          </cell>
          <cell r="B318">
            <v>22500000</v>
          </cell>
        </row>
        <row r="319">
          <cell r="A319" t="str">
            <v>805-2024</v>
          </cell>
          <cell r="B319">
            <v>9000000</v>
          </cell>
        </row>
        <row r="320">
          <cell r="A320" t="str">
            <v>675-2024</v>
          </cell>
          <cell r="B320">
            <v>14250000</v>
          </cell>
        </row>
        <row r="321">
          <cell r="A321" t="str">
            <v>658-2024</v>
          </cell>
          <cell r="B321">
            <v>14250000</v>
          </cell>
        </row>
        <row r="322">
          <cell r="A322" t="str">
            <v>748-2024</v>
          </cell>
          <cell r="B322">
            <v>9000000</v>
          </cell>
        </row>
        <row r="323">
          <cell r="A323" t="str">
            <v>715-2024</v>
          </cell>
          <cell r="B323">
            <v>9000000</v>
          </cell>
        </row>
        <row r="324">
          <cell r="A324" t="str">
            <v>912-2024</v>
          </cell>
          <cell r="B324">
            <v>22620000</v>
          </cell>
        </row>
        <row r="325">
          <cell r="A325" t="str">
            <v>824-2024</v>
          </cell>
          <cell r="B325">
            <v>9000000</v>
          </cell>
        </row>
        <row r="326">
          <cell r="A326" t="str">
            <v>644-2024</v>
          </cell>
          <cell r="B326">
            <v>14250000</v>
          </cell>
        </row>
        <row r="327">
          <cell r="A327" t="str">
            <v>747-2024</v>
          </cell>
          <cell r="B327">
            <v>9000000</v>
          </cell>
        </row>
        <row r="328">
          <cell r="A328" t="str">
            <v>856-2024</v>
          </cell>
          <cell r="B328">
            <v>9000000</v>
          </cell>
        </row>
        <row r="329">
          <cell r="A329" t="str">
            <v>784-2024</v>
          </cell>
          <cell r="B329">
            <v>9000000</v>
          </cell>
        </row>
        <row r="330">
          <cell r="A330" t="str">
            <v>917-2024</v>
          </cell>
          <cell r="B330">
            <v>7500000</v>
          </cell>
        </row>
        <row r="331">
          <cell r="A331" t="str">
            <v>654-2024</v>
          </cell>
          <cell r="B331">
            <v>14475000</v>
          </cell>
        </row>
        <row r="332">
          <cell r="A332" t="str">
            <v>910-2024</v>
          </cell>
          <cell r="B332">
            <v>7500000</v>
          </cell>
        </row>
        <row r="333">
          <cell r="A333" t="str">
            <v>788-2024</v>
          </cell>
          <cell r="B333">
            <v>9000000</v>
          </cell>
        </row>
        <row r="334">
          <cell r="A334" t="str">
            <v>918-2024</v>
          </cell>
          <cell r="B334">
            <v>9000000</v>
          </cell>
        </row>
        <row r="335">
          <cell r="A335" t="str">
            <v>835-2024</v>
          </cell>
          <cell r="B335">
            <v>14475000</v>
          </cell>
        </row>
        <row r="336">
          <cell r="A336" t="str">
            <v>911-2024</v>
          </cell>
          <cell r="B336">
            <v>7500000</v>
          </cell>
        </row>
        <row r="337">
          <cell r="A337" t="str">
            <v>914-2024</v>
          </cell>
          <cell r="B337">
            <v>7500000</v>
          </cell>
        </row>
        <row r="338">
          <cell r="A338" t="str">
            <v>692-2024</v>
          </cell>
          <cell r="B338">
            <v>9000000</v>
          </cell>
        </row>
        <row r="339">
          <cell r="A339" t="str">
            <v>770-2024</v>
          </cell>
          <cell r="B339">
            <v>9000000</v>
          </cell>
        </row>
        <row r="340">
          <cell r="A340" t="str">
            <v>949-2024</v>
          </cell>
          <cell r="B340">
            <v>6250000</v>
          </cell>
        </row>
        <row r="341">
          <cell r="A341" t="str">
            <v>951-2024</v>
          </cell>
          <cell r="B341">
            <v>5916300</v>
          </cell>
        </row>
        <row r="342">
          <cell r="A342" t="str">
            <v>744-2024</v>
          </cell>
          <cell r="B342">
            <v>9000000</v>
          </cell>
        </row>
        <row r="343">
          <cell r="A343" t="str">
            <v>915-2024</v>
          </cell>
          <cell r="B343">
            <v>14250000</v>
          </cell>
        </row>
        <row r="344">
          <cell r="A344" t="str">
            <v>679-2024</v>
          </cell>
          <cell r="B344">
            <v>24000000</v>
          </cell>
        </row>
        <row r="345">
          <cell r="A345" t="str">
            <v>923-2024</v>
          </cell>
          <cell r="B345">
            <v>18000000</v>
          </cell>
        </row>
        <row r="346">
          <cell r="A346" t="str">
            <v>806-2024</v>
          </cell>
          <cell r="B346">
            <v>9000000</v>
          </cell>
        </row>
        <row r="347">
          <cell r="A347" t="str">
            <v>828-2024</v>
          </cell>
          <cell r="B347">
            <v>7500000</v>
          </cell>
        </row>
        <row r="348">
          <cell r="A348" t="str">
            <v>688-2024</v>
          </cell>
          <cell r="B348">
            <v>18000000</v>
          </cell>
        </row>
        <row r="349">
          <cell r="A349" t="str">
            <v>957-2024</v>
          </cell>
          <cell r="B349">
            <v>6800000</v>
          </cell>
        </row>
        <row r="350">
          <cell r="A350" t="str">
            <v>708-2024</v>
          </cell>
          <cell r="B350">
            <v>9000000</v>
          </cell>
        </row>
        <row r="351">
          <cell r="A351" t="str">
            <v>661-2024</v>
          </cell>
          <cell r="B351">
            <v>22620000</v>
          </cell>
        </row>
        <row r="352">
          <cell r="A352" t="str">
            <v>880-2024</v>
          </cell>
          <cell r="B352">
            <v>22620000</v>
          </cell>
        </row>
        <row r="353">
          <cell r="A353" t="str">
            <v>878-2024</v>
          </cell>
          <cell r="B353">
            <v>22620000</v>
          </cell>
        </row>
        <row r="354">
          <cell r="A354" t="str">
            <v>872-2024</v>
          </cell>
          <cell r="B354">
            <v>22620000</v>
          </cell>
        </row>
        <row r="355">
          <cell r="A355" t="str">
            <v>674-2024</v>
          </cell>
          <cell r="B355">
            <v>22620000</v>
          </cell>
        </row>
        <row r="356">
          <cell r="A356" t="str">
            <v>685-2024</v>
          </cell>
          <cell r="B356">
            <v>14250000</v>
          </cell>
        </row>
        <row r="357">
          <cell r="A357" t="str">
            <v>673-2024</v>
          </cell>
          <cell r="B357">
            <v>22620000</v>
          </cell>
        </row>
        <row r="358">
          <cell r="A358" t="str">
            <v>816-2024</v>
          </cell>
          <cell r="B358">
            <v>9000000</v>
          </cell>
        </row>
        <row r="359">
          <cell r="A359" t="str">
            <v>710-2024</v>
          </cell>
          <cell r="B359">
            <v>9000000</v>
          </cell>
        </row>
        <row r="360">
          <cell r="A360" t="str">
            <v>839-2024</v>
          </cell>
          <cell r="B360">
            <v>9000000</v>
          </cell>
        </row>
        <row r="361">
          <cell r="A361" t="str">
            <v>669-2024</v>
          </cell>
          <cell r="B361">
            <v>18000000</v>
          </cell>
        </row>
        <row r="362">
          <cell r="A362" t="str">
            <v>782-2024</v>
          </cell>
          <cell r="B362">
            <v>9000000</v>
          </cell>
        </row>
        <row r="363">
          <cell r="A363" t="str">
            <v>671-2024</v>
          </cell>
          <cell r="B363">
            <v>22620000</v>
          </cell>
        </row>
        <row r="364">
          <cell r="A364" t="str">
            <v>813-2024</v>
          </cell>
          <cell r="B364">
            <v>7500000</v>
          </cell>
        </row>
        <row r="365">
          <cell r="A365" t="str">
            <v>740-2024</v>
          </cell>
          <cell r="B365">
            <v>9000000</v>
          </cell>
        </row>
        <row r="366">
          <cell r="A366" t="str">
            <v>706-2024</v>
          </cell>
          <cell r="B366">
            <v>9000000</v>
          </cell>
        </row>
        <row r="367">
          <cell r="A367" t="str">
            <v>968-2024</v>
          </cell>
          <cell r="B367">
            <v>5916300</v>
          </cell>
        </row>
        <row r="368">
          <cell r="A368" t="str">
            <v>906-2024</v>
          </cell>
          <cell r="B368">
            <v>14250000</v>
          </cell>
        </row>
        <row r="369">
          <cell r="A369" t="str">
            <v>714-2024</v>
          </cell>
          <cell r="B369">
            <v>9000000</v>
          </cell>
        </row>
        <row r="370">
          <cell r="A370" t="str">
            <v>956-2024</v>
          </cell>
          <cell r="B370">
            <v>6800000</v>
          </cell>
        </row>
        <row r="371">
          <cell r="A371" t="str">
            <v>783-2024</v>
          </cell>
          <cell r="B371">
            <v>7500000</v>
          </cell>
        </row>
        <row r="372">
          <cell r="A372" t="str">
            <v>725-2024</v>
          </cell>
          <cell r="B372">
            <v>9000000</v>
          </cell>
        </row>
        <row r="373">
          <cell r="A373" t="str">
            <v>665-2024</v>
          </cell>
          <cell r="B373">
            <v>14475000</v>
          </cell>
        </row>
        <row r="374">
          <cell r="A374" t="str">
            <v>699-2024</v>
          </cell>
          <cell r="B374">
            <v>9000000</v>
          </cell>
        </row>
        <row r="375">
          <cell r="A375" t="str">
            <v>728-2024</v>
          </cell>
          <cell r="B375">
            <v>9000000</v>
          </cell>
        </row>
        <row r="376">
          <cell r="A376" t="str">
            <v>761-2024</v>
          </cell>
          <cell r="B376">
            <v>9000000</v>
          </cell>
        </row>
        <row r="377">
          <cell r="A377" t="str">
            <v>803-2024</v>
          </cell>
          <cell r="B377">
            <v>9000000</v>
          </cell>
        </row>
        <row r="378">
          <cell r="A378" t="str">
            <v>869-2024</v>
          </cell>
          <cell r="B378">
            <v>9000000</v>
          </cell>
        </row>
        <row r="379">
          <cell r="A379" t="str">
            <v>808-2024</v>
          </cell>
          <cell r="B379">
            <v>14475000</v>
          </cell>
        </row>
        <row r="380">
          <cell r="A380" t="str">
            <v>954-2024</v>
          </cell>
          <cell r="B380">
            <v>7100000</v>
          </cell>
        </row>
        <row r="381">
          <cell r="A381" t="str">
            <v>800-2024</v>
          </cell>
          <cell r="B381">
            <v>7500000</v>
          </cell>
        </row>
        <row r="382">
          <cell r="A382" t="str">
            <v>909-2024</v>
          </cell>
          <cell r="B382">
            <v>9000000</v>
          </cell>
        </row>
        <row r="383">
          <cell r="A383" t="str">
            <v>834-2024</v>
          </cell>
          <cell r="B383">
            <v>9000000</v>
          </cell>
        </row>
        <row r="384">
          <cell r="A384" t="str">
            <v>717-2024</v>
          </cell>
          <cell r="B384">
            <v>14250000</v>
          </cell>
        </row>
        <row r="385">
          <cell r="A385" t="str">
            <v>873-2024</v>
          </cell>
          <cell r="B385">
            <v>9000000</v>
          </cell>
        </row>
        <row r="386">
          <cell r="A386" t="str">
            <v>694-2024</v>
          </cell>
          <cell r="B386">
            <v>9000000</v>
          </cell>
        </row>
        <row r="387">
          <cell r="A387" t="str">
            <v>931-2024</v>
          </cell>
          <cell r="B387">
            <v>22620000</v>
          </cell>
        </row>
        <row r="388">
          <cell r="A388" t="str">
            <v>939-2024</v>
          </cell>
          <cell r="B388">
            <v>15000000</v>
          </cell>
        </row>
        <row r="389">
          <cell r="A389" t="str">
            <v>662-2024</v>
          </cell>
          <cell r="B389">
            <v>22620000</v>
          </cell>
        </row>
        <row r="390">
          <cell r="A390" t="str">
            <v>711-2024</v>
          </cell>
          <cell r="B390">
            <v>9000000</v>
          </cell>
        </row>
        <row r="391">
          <cell r="A391" t="str">
            <v>894-2024</v>
          </cell>
          <cell r="B391">
            <v>9000000</v>
          </cell>
        </row>
        <row r="392">
          <cell r="A392" t="str">
            <v>757-2024</v>
          </cell>
          <cell r="B392">
            <v>18000000</v>
          </cell>
        </row>
        <row r="393">
          <cell r="A393" t="str">
            <v>844-2024</v>
          </cell>
          <cell r="B393">
            <v>7500000</v>
          </cell>
        </row>
        <row r="394">
          <cell r="A394" t="str">
            <v>787-2024</v>
          </cell>
          <cell r="B394">
            <v>9000000</v>
          </cell>
        </row>
        <row r="395">
          <cell r="A395" t="str">
            <v>933-2024</v>
          </cell>
          <cell r="B395">
            <v>6250000</v>
          </cell>
        </row>
        <row r="396">
          <cell r="A396" t="str">
            <v>702-2024</v>
          </cell>
          <cell r="B396">
            <v>22620000</v>
          </cell>
        </row>
        <row r="397">
          <cell r="A397" t="str">
            <v>727-2024</v>
          </cell>
          <cell r="B397">
            <v>9000000</v>
          </cell>
        </row>
        <row r="398">
          <cell r="A398" t="str">
            <v>771-2024</v>
          </cell>
          <cell r="B398">
            <v>9000000</v>
          </cell>
        </row>
        <row r="399">
          <cell r="A399" t="str">
            <v>720-2024</v>
          </cell>
          <cell r="B399">
            <v>14250000</v>
          </cell>
        </row>
        <row r="400">
          <cell r="A400" t="str">
            <v>785-2024</v>
          </cell>
          <cell r="B400">
            <v>7500000</v>
          </cell>
        </row>
        <row r="401">
          <cell r="A401" t="str">
            <v>876-2024</v>
          </cell>
          <cell r="B401">
            <v>9000000</v>
          </cell>
        </row>
        <row r="402">
          <cell r="A402" t="str">
            <v>786-2024</v>
          </cell>
          <cell r="B402">
            <v>7500000</v>
          </cell>
        </row>
        <row r="403">
          <cell r="A403" t="str">
            <v>818-2024</v>
          </cell>
          <cell r="B403">
            <v>14475000</v>
          </cell>
        </row>
        <row r="404">
          <cell r="A404" t="str">
            <v>745-2024</v>
          </cell>
          <cell r="B404">
            <v>9000000</v>
          </cell>
        </row>
        <row r="405">
          <cell r="A405" t="str">
            <v>723-2024</v>
          </cell>
          <cell r="B405">
            <v>14250000</v>
          </cell>
        </row>
        <row r="406">
          <cell r="A406" t="str">
            <v>962-2024</v>
          </cell>
          <cell r="B406">
            <v>14200000</v>
          </cell>
        </row>
        <row r="407">
          <cell r="A407" t="str">
            <v>680-2024</v>
          </cell>
          <cell r="B407">
            <v>18000000</v>
          </cell>
        </row>
        <row r="408">
          <cell r="A408" t="str">
            <v>682-2024</v>
          </cell>
          <cell r="B408">
            <v>14250000</v>
          </cell>
        </row>
        <row r="409">
          <cell r="A409" t="str">
            <v>908-2024</v>
          </cell>
          <cell r="B409">
            <v>9000000</v>
          </cell>
        </row>
        <row r="410">
          <cell r="A410" t="str">
            <v>833-2024</v>
          </cell>
          <cell r="B410">
            <v>9000000</v>
          </cell>
        </row>
        <row r="411">
          <cell r="A411" t="str">
            <v>932-2024</v>
          </cell>
          <cell r="B411">
            <v>14475000</v>
          </cell>
        </row>
        <row r="412">
          <cell r="A412" t="str">
            <v>736-2024</v>
          </cell>
          <cell r="B412">
            <v>9000000</v>
          </cell>
        </row>
        <row r="413">
          <cell r="A413" t="str">
            <v>743-2024</v>
          </cell>
          <cell r="B413">
            <v>9000000</v>
          </cell>
        </row>
        <row r="414">
          <cell r="A414" t="str">
            <v>686-2024</v>
          </cell>
          <cell r="B414">
            <v>14250000</v>
          </cell>
        </row>
        <row r="415">
          <cell r="A415" t="str">
            <v>737-2024</v>
          </cell>
          <cell r="B415">
            <v>14475000</v>
          </cell>
        </row>
        <row r="416">
          <cell r="A416" t="str">
            <v>821-2024</v>
          </cell>
          <cell r="B416">
            <v>12000000</v>
          </cell>
        </row>
        <row r="417">
          <cell r="A417" t="str">
            <v>884-2024</v>
          </cell>
          <cell r="B417">
            <v>7500000</v>
          </cell>
        </row>
        <row r="418">
          <cell r="A418" t="str">
            <v>825-2024</v>
          </cell>
          <cell r="B418">
            <v>18000000</v>
          </cell>
        </row>
        <row r="419">
          <cell r="A419" t="str">
            <v>779-2024</v>
          </cell>
          <cell r="B419">
            <v>8100000</v>
          </cell>
        </row>
        <row r="420">
          <cell r="A420" t="str">
            <v>885-2024</v>
          </cell>
          <cell r="B420">
            <v>7500000</v>
          </cell>
        </row>
        <row r="421">
          <cell r="A421" t="str">
            <v>718-2024</v>
          </cell>
          <cell r="B421">
            <v>9000000</v>
          </cell>
        </row>
        <row r="422">
          <cell r="A422" t="str">
            <v>832-2024</v>
          </cell>
          <cell r="B422">
            <v>9000000</v>
          </cell>
        </row>
        <row r="423">
          <cell r="A423" t="str">
            <v>656-2024</v>
          </cell>
          <cell r="B423">
            <v>22620000</v>
          </cell>
        </row>
        <row r="424">
          <cell r="A424" t="str">
            <v>865-2024</v>
          </cell>
          <cell r="B424">
            <v>9000000</v>
          </cell>
        </row>
        <row r="425">
          <cell r="A425" t="str">
            <v>864-2024</v>
          </cell>
          <cell r="B425">
            <v>7500000</v>
          </cell>
        </row>
        <row r="426">
          <cell r="A426" t="str">
            <v>854-2024</v>
          </cell>
          <cell r="B426">
            <v>9000000</v>
          </cell>
        </row>
        <row r="427">
          <cell r="A427" t="str">
            <v>793-2024</v>
          </cell>
          <cell r="B427">
            <v>9000000</v>
          </cell>
        </row>
        <row r="428">
          <cell r="A428" t="str">
            <v>907-2024</v>
          </cell>
          <cell r="B428">
            <v>14475000</v>
          </cell>
        </row>
        <row r="429">
          <cell r="A429" t="str">
            <v>794-2024</v>
          </cell>
          <cell r="B429">
            <v>9000000</v>
          </cell>
        </row>
        <row r="430">
          <cell r="A430" t="str">
            <v>848-2024</v>
          </cell>
          <cell r="B430">
            <v>14475000</v>
          </cell>
        </row>
        <row r="431">
          <cell r="A431" t="str">
            <v>881-2024</v>
          </cell>
          <cell r="B431">
            <v>18000000</v>
          </cell>
        </row>
        <row r="432">
          <cell r="A432" t="str">
            <v>814-2024</v>
          </cell>
          <cell r="B432">
            <v>14475000</v>
          </cell>
        </row>
        <row r="433">
          <cell r="A433" t="str">
            <v>926-2024</v>
          </cell>
          <cell r="B433">
            <v>12062500</v>
          </cell>
        </row>
        <row r="434">
          <cell r="A434" t="str">
            <v>860-2024</v>
          </cell>
          <cell r="B434">
            <v>9000000</v>
          </cell>
        </row>
        <row r="435">
          <cell r="A435" t="str">
            <v>886-2024</v>
          </cell>
          <cell r="B435">
            <v>9000000</v>
          </cell>
        </row>
        <row r="436">
          <cell r="A436" t="str">
            <v>732-2024</v>
          </cell>
          <cell r="B436">
            <v>9000000</v>
          </cell>
        </row>
        <row r="437">
          <cell r="A437" t="str">
            <v>838-2024</v>
          </cell>
          <cell r="B437">
            <v>7500000</v>
          </cell>
        </row>
        <row r="438">
          <cell r="A438" t="str">
            <v>666-2024</v>
          </cell>
          <cell r="B438">
            <v>14475000</v>
          </cell>
        </row>
        <row r="439">
          <cell r="A439" t="str">
            <v>749-2024</v>
          </cell>
          <cell r="B439">
            <v>9000000</v>
          </cell>
        </row>
        <row r="440">
          <cell r="A440" t="str">
            <v>709-2024</v>
          </cell>
          <cell r="B440">
            <v>14250000</v>
          </cell>
        </row>
        <row r="441">
          <cell r="A441" t="str">
            <v>823-2024</v>
          </cell>
          <cell r="B441">
            <v>7500000</v>
          </cell>
        </row>
        <row r="442">
          <cell r="A442" t="str">
            <v>950-2024</v>
          </cell>
          <cell r="B442">
            <v>6250000</v>
          </cell>
        </row>
        <row r="443">
          <cell r="A443" t="str">
            <v>724-2024</v>
          </cell>
          <cell r="B443">
            <v>9000000</v>
          </cell>
        </row>
        <row r="444">
          <cell r="A444" t="str">
            <v>670-2024</v>
          </cell>
          <cell r="B444">
            <v>18000000</v>
          </cell>
        </row>
        <row r="445">
          <cell r="A445" t="str">
            <v>756-2024</v>
          </cell>
          <cell r="B445">
            <v>9000000</v>
          </cell>
        </row>
        <row r="446">
          <cell r="A446" t="str">
            <v>746-2024</v>
          </cell>
          <cell r="B446">
            <v>9000000</v>
          </cell>
        </row>
        <row r="447">
          <cell r="A447" t="str">
            <v>678-2024</v>
          </cell>
          <cell r="B447">
            <v>22620000</v>
          </cell>
        </row>
        <row r="448">
          <cell r="A448" t="str">
            <v>924-2024</v>
          </cell>
          <cell r="B448">
            <v>6250000</v>
          </cell>
        </row>
        <row r="449">
          <cell r="A449" t="str">
            <v>841-2024</v>
          </cell>
          <cell r="B449">
            <v>14475000</v>
          </cell>
        </row>
        <row r="450">
          <cell r="A450" t="str">
            <v>684-2024</v>
          </cell>
          <cell r="B450">
            <v>14475000</v>
          </cell>
        </row>
        <row r="451">
          <cell r="A451" t="str">
            <v>810-2024</v>
          </cell>
          <cell r="B451">
            <v>9000000</v>
          </cell>
        </row>
        <row r="452">
          <cell r="A452" t="str">
            <v>827-2024</v>
          </cell>
          <cell r="B452">
            <v>7500000</v>
          </cell>
        </row>
        <row r="453">
          <cell r="A453" t="str">
            <v>649-2024</v>
          </cell>
          <cell r="B453">
            <v>22620000</v>
          </cell>
        </row>
        <row r="454">
          <cell r="A454" t="str">
            <v>797-2024</v>
          </cell>
          <cell r="B454">
            <v>9000000</v>
          </cell>
        </row>
        <row r="455">
          <cell r="A455" t="str">
            <v>691-2024</v>
          </cell>
          <cell r="B455">
            <v>14250000</v>
          </cell>
        </row>
        <row r="456">
          <cell r="A456" t="str">
            <v>960-2024</v>
          </cell>
          <cell r="B456">
            <v>6800000</v>
          </cell>
        </row>
        <row r="457">
          <cell r="A457" t="str">
            <v>635-2024</v>
          </cell>
          <cell r="B457">
            <v>14475000</v>
          </cell>
        </row>
        <row r="458">
          <cell r="A458" t="str">
            <v>751-2024</v>
          </cell>
          <cell r="B458">
            <v>9000000</v>
          </cell>
        </row>
        <row r="459">
          <cell r="A459" t="str">
            <v>859-2024</v>
          </cell>
          <cell r="B459">
            <v>9000000</v>
          </cell>
        </row>
        <row r="460">
          <cell r="A460" t="str">
            <v>893-2024</v>
          </cell>
          <cell r="B460">
            <v>7500000</v>
          </cell>
        </row>
        <row r="461">
          <cell r="A461" t="str">
            <v>762-2024</v>
          </cell>
          <cell r="B461">
            <v>9000000</v>
          </cell>
        </row>
        <row r="462">
          <cell r="A462" t="str">
            <v>636-2024</v>
          </cell>
          <cell r="B462">
            <v>14250000</v>
          </cell>
        </row>
        <row r="463">
          <cell r="A463" t="str">
            <v>900-2024</v>
          </cell>
          <cell r="B463">
            <v>9000000</v>
          </cell>
        </row>
        <row r="464">
          <cell r="A464" t="str">
            <v>866-2024</v>
          </cell>
          <cell r="B464">
            <v>9000000</v>
          </cell>
        </row>
        <row r="465">
          <cell r="A465" t="str">
            <v>764-2024</v>
          </cell>
          <cell r="B465">
            <v>9000000</v>
          </cell>
        </row>
        <row r="466">
          <cell r="A466" t="str">
            <v>928-2024</v>
          </cell>
          <cell r="B466">
            <v>18850000</v>
          </cell>
        </row>
        <row r="467">
          <cell r="A467" t="str">
            <v>849-2024</v>
          </cell>
          <cell r="B467">
            <v>9000000</v>
          </cell>
        </row>
        <row r="468">
          <cell r="A468" t="str">
            <v>742-2024</v>
          </cell>
          <cell r="B468">
            <v>9000000</v>
          </cell>
        </row>
        <row r="469">
          <cell r="A469" t="str">
            <v>650-2024</v>
          </cell>
          <cell r="B469">
            <v>18000000</v>
          </cell>
        </row>
        <row r="470">
          <cell r="A470" t="str">
            <v>862-2024</v>
          </cell>
          <cell r="B470">
            <v>18000000</v>
          </cell>
        </row>
        <row r="471">
          <cell r="A471" t="str">
            <v>752-2024</v>
          </cell>
          <cell r="B471">
            <v>14475000</v>
          </cell>
        </row>
        <row r="472">
          <cell r="A472" t="str">
            <v>677-2024</v>
          </cell>
          <cell r="B472">
            <v>14250000</v>
          </cell>
        </row>
        <row r="473">
          <cell r="A473" t="str">
            <v>858-2024</v>
          </cell>
          <cell r="B473">
            <v>14250000</v>
          </cell>
        </row>
        <row r="474">
          <cell r="A474" t="str">
            <v>930-2024</v>
          </cell>
          <cell r="B474">
            <v>7500000</v>
          </cell>
        </row>
        <row r="475">
          <cell r="A475" t="str">
            <v>867-2024</v>
          </cell>
          <cell r="B475">
            <v>9000000</v>
          </cell>
        </row>
        <row r="476">
          <cell r="A476" t="str">
            <v>791-2024</v>
          </cell>
          <cell r="B476">
            <v>9000000</v>
          </cell>
        </row>
        <row r="477">
          <cell r="A477" t="str">
            <v>781-2024</v>
          </cell>
          <cell r="B477">
            <v>9000000</v>
          </cell>
        </row>
        <row r="478">
          <cell r="A478" t="str">
            <v>929-2024</v>
          </cell>
          <cell r="B478">
            <v>7500000</v>
          </cell>
        </row>
        <row r="479">
          <cell r="A479" t="str">
            <v>925-2024</v>
          </cell>
          <cell r="B479">
            <v>15000000</v>
          </cell>
        </row>
        <row r="480">
          <cell r="A480" t="str">
            <v>942-2024</v>
          </cell>
          <cell r="B480">
            <v>22620000</v>
          </cell>
        </row>
        <row r="481">
          <cell r="A481" t="str">
            <v>883-2024</v>
          </cell>
          <cell r="B481">
            <v>7500000</v>
          </cell>
        </row>
        <row r="482">
          <cell r="A482" t="str">
            <v>855-2024</v>
          </cell>
          <cell r="B482">
            <v>7500000</v>
          </cell>
        </row>
        <row r="483">
          <cell r="A483" t="str">
            <v>707-2024</v>
          </cell>
          <cell r="B483">
            <v>14250000</v>
          </cell>
        </row>
        <row r="484">
          <cell r="A484" t="str">
            <v>897-2024</v>
          </cell>
          <cell r="B484">
            <v>14250000</v>
          </cell>
        </row>
        <row r="485">
          <cell r="A485" t="str">
            <v>829-2024</v>
          </cell>
          <cell r="B485">
            <v>9000000</v>
          </cell>
        </row>
        <row r="486">
          <cell r="A486" t="str">
            <v>887-2024</v>
          </cell>
          <cell r="B486">
            <v>22620000</v>
          </cell>
        </row>
        <row r="487">
          <cell r="A487" t="str">
            <v>695-2024</v>
          </cell>
          <cell r="B487">
            <v>9000000</v>
          </cell>
        </row>
        <row r="488">
          <cell r="A488" t="str">
            <v>1005-2024</v>
          </cell>
          <cell r="B488">
            <v>15080000</v>
          </cell>
        </row>
        <row r="489">
          <cell r="A489" t="str">
            <v>815-2024</v>
          </cell>
          <cell r="B489">
            <v>9000000</v>
          </cell>
        </row>
        <row r="490">
          <cell r="A490" t="str">
            <v>882-2024</v>
          </cell>
          <cell r="B490">
            <v>9000000</v>
          </cell>
        </row>
        <row r="491">
          <cell r="A491" t="str">
            <v>927-2024</v>
          </cell>
          <cell r="B491">
            <v>12062500</v>
          </cell>
        </row>
        <row r="492">
          <cell r="A492" t="str">
            <v>902-2024</v>
          </cell>
          <cell r="B492">
            <v>14250000</v>
          </cell>
        </row>
        <row r="493">
          <cell r="A493" t="str">
            <v>634-2024</v>
          </cell>
          <cell r="B493">
            <v>22620000</v>
          </cell>
        </row>
        <row r="494">
          <cell r="A494" t="str">
            <v>916-2024</v>
          </cell>
          <cell r="B494">
            <v>9000000</v>
          </cell>
        </row>
        <row r="495">
          <cell r="A495" t="str">
            <v>853-2024</v>
          </cell>
          <cell r="B495">
            <v>22620000</v>
          </cell>
        </row>
        <row r="496">
          <cell r="A496" t="str">
            <v>850-2024</v>
          </cell>
          <cell r="B496">
            <v>9000000</v>
          </cell>
        </row>
        <row r="497">
          <cell r="A497" t="str">
            <v>643-2024</v>
          </cell>
          <cell r="B497">
            <v>14475000</v>
          </cell>
        </row>
        <row r="498">
          <cell r="A498" t="str">
            <v>693-2024</v>
          </cell>
          <cell r="B498">
            <v>9000000</v>
          </cell>
        </row>
        <row r="499">
          <cell r="A499" t="str">
            <v>879-2024</v>
          </cell>
          <cell r="B499">
            <v>22620000</v>
          </cell>
        </row>
        <row r="500">
          <cell r="A500" t="str">
            <v>1030-2024</v>
          </cell>
          <cell r="B500">
            <v>6915400</v>
          </cell>
        </row>
        <row r="501">
          <cell r="A501" t="str">
            <v>843-2024</v>
          </cell>
          <cell r="B501">
            <v>9000000</v>
          </cell>
        </row>
        <row r="502">
          <cell r="A502" t="str">
            <v>877-2024</v>
          </cell>
          <cell r="B502">
            <v>14475000</v>
          </cell>
        </row>
        <row r="503">
          <cell r="A503" t="str">
            <v>990-2024</v>
          </cell>
          <cell r="B503">
            <v>9650000</v>
          </cell>
        </row>
        <row r="504">
          <cell r="A504" t="str">
            <v>790-2024</v>
          </cell>
          <cell r="B504">
            <v>7500000</v>
          </cell>
        </row>
        <row r="505">
          <cell r="A505" t="str">
            <v>780-2024</v>
          </cell>
          <cell r="B505">
            <v>4825000</v>
          </cell>
        </row>
        <row r="506">
          <cell r="A506" t="str">
            <v>875-2024</v>
          </cell>
          <cell r="B506">
            <v>6000000</v>
          </cell>
        </row>
        <row r="507">
          <cell r="A507" t="str">
            <v>958-2024</v>
          </cell>
          <cell r="B507">
            <v>6800000</v>
          </cell>
        </row>
        <row r="508">
          <cell r="A508" t="str">
            <v>1007-2024</v>
          </cell>
          <cell r="B508">
            <v>15080000</v>
          </cell>
        </row>
        <row r="509">
          <cell r="A509" t="str">
            <v>845-2024</v>
          </cell>
          <cell r="B509">
            <v>18000000</v>
          </cell>
        </row>
        <row r="510">
          <cell r="A510" t="str">
            <v>1001-2024</v>
          </cell>
          <cell r="B510">
            <v>5000000</v>
          </cell>
        </row>
        <row r="511">
          <cell r="A511" t="str">
            <v>1021-2024</v>
          </cell>
          <cell r="B511">
            <v>7558600</v>
          </cell>
        </row>
        <row r="512">
          <cell r="A512" t="str">
            <v>831-2024</v>
          </cell>
          <cell r="B512">
            <v>9000000</v>
          </cell>
        </row>
        <row r="513">
          <cell r="A513" t="str">
            <v>1006-2024</v>
          </cell>
          <cell r="B513">
            <v>9500000</v>
          </cell>
        </row>
        <row r="514">
          <cell r="A514" t="str">
            <v>970-2024</v>
          </cell>
          <cell r="B514">
            <v>6000000</v>
          </cell>
        </row>
        <row r="515">
          <cell r="A515" t="str">
            <v>995-2024</v>
          </cell>
          <cell r="B515">
            <v>15080000</v>
          </cell>
        </row>
        <row r="516">
          <cell r="A516" t="str">
            <v>992-2024</v>
          </cell>
          <cell r="B516">
            <v>15080000</v>
          </cell>
        </row>
        <row r="517">
          <cell r="A517" t="str">
            <v>1010-2024</v>
          </cell>
          <cell r="B517">
            <v>15080000</v>
          </cell>
        </row>
        <row r="518">
          <cell r="A518" t="str">
            <v>1004-2024</v>
          </cell>
          <cell r="B518">
            <v>15080000</v>
          </cell>
        </row>
        <row r="519">
          <cell r="A519" t="str">
            <v>996-2024</v>
          </cell>
          <cell r="B519">
            <v>9500000</v>
          </cell>
        </row>
        <row r="520">
          <cell r="A520" t="str">
            <v>758-2024</v>
          </cell>
          <cell r="B520">
            <v>18000000</v>
          </cell>
        </row>
        <row r="521">
          <cell r="A521" t="str">
            <v>966-2024</v>
          </cell>
          <cell r="B521">
            <v>5916300</v>
          </cell>
        </row>
        <row r="522">
          <cell r="A522" t="str">
            <v>980-2024</v>
          </cell>
          <cell r="B522">
            <v>9650000</v>
          </cell>
        </row>
        <row r="523">
          <cell r="A523" t="str">
            <v>988-2024</v>
          </cell>
          <cell r="B523">
            <v>9650000</v>
          </cell>
        </row>
        <row r="524">
          <cell r="A524" t="str">
            <v>946-2024</v>
          </cell>
          <cell r="B524">
            <v>14200000</v>
          </cell>
        </row>
        <row r="525">
          <cell r="A525" t="str">
            <v>993-2024</v>
          </cell>
          <cell r="B525">
            <v>15080000</v>
          </cell>
        </row>
        <row r="526">
          <cell r="A526" t="str">
            <v>1026-2024</v>
          </cell>
          <cell r="B526">
            <v>7558600</v>
          </cell>
        </row>
        <row r="527">
          <cell r="A527" t="str">
            <v>984-2024</v>
          </cell>
          <cell r="B527">
            <v>6000000</v>
          </cell>
        </row>
        <row r="528">
          <cell r="A528" t="str">
            <v>1015-2024</v>
          </cell>
          <cell r="B528">
            <v>9000000</v>
          </cell>
        </row>
        <row r="529">
          <cell r="A529" t="str">
            <v>1045-2024</v>
          </cell>
          <cell r="B529">
            <v>3600000</v>
          </cell>
        </row>
        <row r="530">
          <cell r="A530" t="str">
            <v>705-2024</v>
          </cell>
          <cell r="B530">
            <v>9000000</v>
          </cell>
        </row>
        <row r="531">
          <cell r="A531" t="str">
            <v>1031-2024</v>
          </cell>
          <cell r="B531">
            <v>3916100</v>
          </cell>
        </row>
        <row r="532">
          <cell r="A532" t="str">
            <v>830-2024</v>
          </cell>
          <cell r="B532">
            <v>9000000</v>
          </cell>
        </row>
        <row r="533">
          <cell r="A533" t="str">
            <v>986-2024</v>
          </cell>
          <cell r="B533">
            <v>9500000</v>
          </cell>
        </row>
        <row r="534">
          <cell r="A534" t="str">
            <v>987-2024</v>
          </cell>
          <cell r="B534">
            <v>5000000</v>
          </cell>
        </row>
        <row r="535">
          <cell r="A535" t="str">
            <v>1048-2024</v>
          </cell>
          <cell r="B535">
            <v>3600000</v>
          </cell>
        </row>
        <row r="536">
          <cell r="A536" t="str">
            <v>804-2024</v>
          </cell>
          <cell r="B536">
            <v>9000000</v>
          </cell>
        </row>
        <row r="537">
          <cell r="A537" t="str">
            <v>1043-2024</v>
          </cell>
          <cell r="B537">
            <v>3582900</v>
          </cell>
        </row>
        <row r="538">
          <cell r="A538" t="str">
            <v>969-2024</v>
          </cell>
          <cell r="B538">
            <v>12000000</v>
          </cell>
        </row>
        <row r="539">
          <cell r="A539" t="str">
            <v>1029-2024</v>
          </cell>
          <cell r="B539">
            <v>3916100</v>
          </cell>
        </row>
        <row r="540">
          <cell r="A540" t="str">
            <v>1000-2024</v>
          </cell>
          <cell r="B540">
            <v>6000000</v>
          </cell>
        </row>
        <row r="541">
          <cell r="A541" t="str">
            <v>807-2024</v>
          </cell>
          <cell r="B541">
            <v>9000000</v>
          </cell>
        </row>
        <row r="542">
          <cell r="A542" t="str">
            <v>997-2024</v>
          </cell>
          <cell r="B542">
            <v>9650000</v>
          </cell>
        </row>
        <row r="543">
          <cell r="A543" t="str">
            <v>955-2024</v>
          </cell>
          <cell r="B543">
            <v>5916300</v>
          </cell>
        </row>
        <row r="544">
          <cell r="A544" t="str">
            <v>1053-2024</v>
          </cell>
          <cell r="B544">
            <v>5629000</v>
          </cell>
        </row>
        <row r="545">
          <cell r="A545" t="str">
            <v>668-2024</v>
          </cell>
          <cell r="B545">
            <v>21363000</v>
          </cell>
        </row>
        <row r="546">
          <cell r="A546" t="str">
            <v>899-2024</v>
          </cell>
          <cell r="B546">
            <v>7500000</v>
          </cell>
        </row>
        <row r="547">
          <cell r="A547" t="str">
            <v>1035-2024</v>
          </cell>
          <cell r="B547">
            <v>3916000</v>
          </cell>
        </row>
        <row r="548">
          <cell r="A548" t="str">
            <v>1051-2024</v>
          </cell>
          <cell r="B548">
            <v>5629000</v>
          </cell>
        </row>
        <row r="549">
          <cell r="A549" t="str">
            <v>999-2024</v>
          </cell>
          <cell r="B549">
            <v>5000000</v>
          </cell>
        </row>
        <row r="550">
          <cell r="A550" t="str">
            <v>989-2024</v>
          </cell>
          <cell r="B550">
            <v>6000000</v>
          </cell>
        </row>
        <row r="551">
          <cell r="A551" t="str">
            <v>1044-2024</v>
          </cell>
          <cell r="B551">
            <v>3333000</v>
          </cell>
        </row>
        <row r="552">
          <cell r="A552" t="str">
            <v>1024-2024</v>
          </cell>
          <cell r="B552">
            <v>3916100</v>
          </cell>
        </row>
        <row r="553">
          <cell r="A553" t="str">
            <v>1034-2024</v>
          </cell>
          <cell r="B553">
            <v>6915400</v>
          </cell>
        </row>
        <row r="554">
          <cell r="A554" t="str">
            <v>1011-2024</v>
          </cell>
          <cell r="B554">
            <v>4700000</v>
          </cell>
        </row>
        <row r="555">
          <cell r="A555" t="str">
            <v>1012-2024</v>
          </cell>
          <cell r="B555">
            <v>3916100</v>
          </cell>
        </row>
        <row r="556">
          <cell r="A556" t="str">
            <v>1025-2024</v>
          </cell>
          <cell r="B556">
            <v>4700000</v>
          </cell>
        </row>
        <row r="557">
          <cell r="A557" t="str">
            <v>1013-2024</v>
          </cell>
          <cell r="B557">
            <v>6000000</v>
          </cell>
        </row>
        <row r="558">
          <cell r="A558" t="str">
            <v>991-2024</v>
          </cell>
          <cell r="B558">
            <v>9500000</v>
          </cell>
        </row>
        <row r="559">
          <cell r="A559" t="str">
            <v>696-2024</v>
          </cell>
          <cell r="B559">
            <v>14250000</v>
          </cell>
        </row>
        <row r="560">
          <cell r="A560" t="str">
            <v>985-2024</v>
          </cell>
          <cell r="B560">
            <v>9500000</v>
          </cell>
        </row>
        <row r="561">
          <cell r="A561" t="str">
            <v>1032-2024</v>
          </cell>
          <cell r="B561">
            <v>4300000</v>
          </cell>
        </row>
        <row r="562">
          <cell r="A562" t="str">
            <v>975-2024</v>
          </cell>
          <cell r="B562">
            <v>9650000</v>
          </cell>
        </row>
        <row r="563">
          <cell r="A563" t="str">
            <v>1033-2024</v>
          </cell>
          <cell r="B563">
            <v>3582000</v>
          </cell>
        </row>
        <row r="564">
          <cell r="A564" t="str">
            <v>1020-2024</v>
          </cell>
          <cell r="B564">
            <v>9500000</v>
          </cell>
        </row>
        <row r="565">
          <cell r="A565" t="str">
            <v>1002-2024</v>
          </cell>
          <cell r="B565">
            <v>5000000</v>
          </cell>
        </row>
        <row r="566">
          <cell r="A566" t="str">
            <v>1003-2024</v>
          </cell>
          <cell r="B566">
            <v>9500000</v>
          </cell>
        </row>
        <row r="567">
          <cell r="A567" t="str">
            <v>1037-2024</v>
          </cell>
          <cell r="B567">
            <v>7441100</v>
          </cell>
        </row>
        <row r="568">
          <cell r="A568" t="str">
            <v>1016-2024</v>
          </cell>
          <cell r="B568">
            <v>9650000</v>
          </cell>
        </row>
        <row r="569">
          <cell r="A569" t="str">
            <v>1052-2024</v>
          </cell>
          <cell r="B569">
            <v>3600000</v>
          </cell>
        </row>
        <row r="570">
          <cell r="A570" t="str">
            <v>935-2024</v>
          </cell>
          <cell r="B570">
            <v>7500000</v>
          </cell>
        </row>
        <row r="571">
          <cell r="A571" t="str">
            <v>1055-2024</v>
          </cell>
          <cell r="B571">
            <v>4000000</v>
          </cell>
        </row>
        <row r="572">
          <cell r="A572" t="str">
            <v>974-2024</v>
          </cell>
          <cell r="B572">
            <v>9500000</v>
          </cell>
        </row>
        <row r="573">
          <cell r="A573" t="str">
            <v>1047-2024</v>
          </cell>
          <cell r="B573">
            <v>3600000</v>
          </cell>
        </row>
        <row r="574">
          <cell r="A574" t="str">
            <v>1054-2024</v>
          </cell>
          <cell r="B574">
            <v>7200000</v>
          </cell>
        </row>
        <row r="575">
          <cell r="A575" t="str">
            <v>1084-2024</v>
          </cell>
          <cell r="B575">
            <v>6000000</v>
          </cell>
        </row>
        <row r="576">
          <cell r="A576" t="str">
            <v>1049-2024</v>
          </cell>
          <cell r="B576">
            <v>2999800</v>
          </cell>
        </row>
        <row r="577">
          <cell r="A577" t="str">
            <v>921-2024</v>
          </cell>
          <cell r="B577">
            <v>3000000</v>
          </cell>
        </row>
        <row r="578">
          <cell r="A578" t="str">
            <v>1008-2024</v>
          </cell>
          <cell r="B578">
            <v>15080000</v>
          </cell>
        </row>
        <row r="579">
          <cell r="A579" t="str">
            <v>981-2024</v>
          </cell>
          <cell r="B579">
            <v>5000000</v>
          </cell>
        </row>
        <row r="580">
          <cell r="A580" t="str">
            <v>1080-2024</v>
          </cell>
          <cell r="B580">
            <v>6000000</v>
          </cell>
        </row>
        <row r="581">
          <cell r="A581" t="str">
            <v>1050-2024</v>
          </cell>
          <cell r="B581">
            <v>2500000</v>
          </cell>
        </row>
        <row r="582">
          <cell r="A582" t="str">
            <v>1068-2024</v>
          </cell>
          <cell r="B582">
            <v>3000000</v>
          </cell>
        </row>
        <row r="583">
          <cell r="A583" t="str">
            <v>1039-2024</v>
          </cell>
          <cell r="B583">
            <v>195005000</v>
          </cell>
        </row>
        <row r="584">
          <cell r="A584" t="str">
            <v>1058-2024</v>
          </cell>
          <cell r="B584">
            <v>2500000</v>
          </cell>
        </row>
        <row r="585">
          <cell r="A585" t="str">
            <v>1018-2024</v>
          </cell>
          <cell r="B585">
            <v>9650000</v>
          </cell>
        </row>
        <row r="586">
          <cell r="A586" t="str">
            <v>1071-2024</v>
          </cell>
          <cell r="B586">
            <v>6000000</v>
          </cell>
        </row>
        <row r="587">
          <cell r="A587" t="str">
            <v>1056-2024</v>
          </cell>
          <cell r="B587">
            <v>3500000</v>
          </cell>
        </row>
        <row r="588">
          <cell r="A588" t="str">
            <v>1042-2024</v>
          </cell>
          <cell r="B588">
            <v>7441100</v>
          </cell>
        </row>
        <row r="589">
          <cell r="A589" t="str">
            <v>1017-2024</v>
          </cell>
          <cell r="B589">
            <v>19046664</v>
          </cell>
        </row>
        <row r="590">
          <cell r="A590" t="str">
            <v>1027-2024</v>
          </cell>
          <cell r="B590">
            <v>31351479</v>
          </cell>
        </row>
        <row r="591">
          <cell r="A591" t="str">
            <v>1022-2024</v>
          </cell>
          <cell r="B591">
            <v>24548400</v>
          </cell>
        </row>
        <row r="592">
          <cell r="A592" t="str">
            <v>207-2024</v>
          </cell>
          <cell r="B592">
            <v>2600000</v>
          </cell>
        </row>
        <row r="593">
          <cell r="A593" t="str">
            <v>220-2025</v>
          </cell>
          <cell r="B593">
            <v>6000000</v>
          </cell>
        </row>
        <row r="594">
          <cell r="A594" t="str">
            <v>208-2025</v>
          </cell>
          <cell r="B594">
            <v>6000000</v>
          </cell>
        </row>
        <row r="595">
          <cell r="A595" t="str">
            <v>194-2025</v>
          </cell>
          <cell r="B595">
            <v>9500000</v>
          </cell>
        </row>
        <row r="596">
          <cell r="A596" t="str">
            <v>248-2025</v>
          </cell>
          <cell r="B596">
            <v>9650000</v>
          </cell>
        </row>
        <row r="597">
          <cell r="A597" t="str">
            <v>182-2025</v>
          </cell>
          <cell r="B597">
            <v>6000000</v>
          </cell>
        </row>
        <row r="598">
          <cell r="A598" t="str">
            <v>243-2025</v>
          </cell>
          <cell r="B598">
            <v>12000000</v>
          </cell>
        </row>
        <row r="599">
          <cell r="A599" t="str">
            <v>212-2025</v>
          </cell>
          <cell r="B599">
            <v>6000000</v>
          </cell>
        </row>
        <row r="600">
          <cell r="A600" t="str">
            <v>269-2025</v>
          </cell>
          <cell r="B600">
            <v>12000000</v>
          </cell>
        </row>
        <row r="601">
          <cell r="A601" t="str">
            <v>234-2025</v>
          </cell>
          <cell r="B601">
            <v>6000000</v>
          </cell>
        </row>
        <row r="602">
          <cell r="A602" t="str">
            <v>235-2025</v>
          </cell>
          <cell r="B602">
            <v>12000000</v>
          </cell>
        </row>
        <row r="603">
          <cell r="A603" t="str">
            <v>190-2025</v>
          </cell>
          <cell r="B603">
            <v>6000000</v>
          </cell>
        </row>
        <row r="604">
          <cell r="A604" t="str">
            <v>180-2025</v>
          </cell>
          <cell r="B604">
            <v>9650000</v>
          </cell>
        </row>
        <row r="605">
          <cell r="A605" t="str">
            <v>229-2025</v>
          </cell>
          <cell r="B605">
            <v>6000000</v>
          </cell>
        </row>
        <row r="606">
          <cell r="A606" t="str">
            <v>185-2025</v>
          </cell>
          <cell r="B606">
            <v>9500000</v>
          </cell>
        </row>
        <row r="607">
          <cell r="A607" t="str">
            <v>216-2025</v>
          </cell>
          <cell r="B607">
            <v>9500000</v>
          </cell>
        </row>
        <row r="608">
          <cell r="A608" t="str">
            <v>246-2025</v>
          </cell>
          <cell r="B608">
            <v>6000000</v>
          </cell>
        </row>
        <row r="609">
          <cell r="A609" t="str">
            <v>210-2025</v>
          </cell>
          <cell r="B609">
            <v>6000000</v>
          </cell>
        </row>
        <row r="610">
          <cell r="A610" t="str">
            <v>192-2025</v>
          </cell>
          <cell r="B610">
            <v>12000000</v>
          </cell>
        </row>
        <row r="611">
          <cell r="A611" t="str">
            <v>204-2025</v>
          </cell>
          <cell r="B611">
            <v>6000000</v>
          </cell>
        </row>
        <row r="612">
          <cell r="A612" t="str">
            <v>247-2025</v>
          </cell>
          <cell r="B612">
            <v>6000000</v>
          </cell>
        </row>
        <row r="613">
          <cell r="A613" t="str">
            <v>211-2025</v>
          </cell>
          <cell r="B613">
            <v>6000000</v>
          </cell>
        </row>
        <row r="614">
          <cell r="A614" t="str">
            <v>181-2025</v>
          </cell>
          <cell r="B614">
            <v>9650000</v>
          </cell>
        </row>
        <row r="615">
          <cell r="A615" t="str">
            <v>244-2025</v>
          </cell>
          <cell r="B615">
            <v>6000000</v>
          </cell>
        </row>
        <row r="616">
          <cell r="A616" t="str">
            <v>258-2025</v>
          </cell>
          <cell r="B616">
            <v>6000000</v>
          </cell>
        </row>
        <row r="617">
          <cell r="A617" t="str">
            <v>218-2025</v>
          </cell>
          <cell r="B617">
            <v>6000000</v>
          </cell>
        </row>
        <row r="618">
          <cell r="A618" t="str">
            <v>254-2025</v>
          </cell>
          <cell r="B618">
            <v>9500000</v>
          </cell>
        </row>
        <row r="619">
          <cell r="A619" t="str">
            <v>249-2025</v>
          </cell>
          <cell r="B619">
            <v>5000000</v>
          </cell>
        </row>
        <row r="620">
          <cell r="A620" t="str">
            <v>186-2025</v>
          </cell>
          <cell r="B620">
            <v>9500000</v>
          </cell>
        </row>
        <row r="621">
          <cell r="A621" t="str">
            <v>277-2025</v>
          </cell>
          <cell r="B621">
            <v>6000000</v>
          </cell>
        </row>
        <row r="622">
          <cell r="A622" t="str">
            <v>250-2025</v>
          </cell>
          <cell r="B622">
            <v>5000000</v>
          </cell>
        </row>
        <row r="623">
          <cell r="A623" t="str">
            <v>189-2025</v>
          </cell>
          <cell r="B623">
            <v>6000000</v>
          </cell>
        </row>
        <row r="624">
          <cell r="A624" t="str">
            <v>188-2025</v>
          </cell>
          <cell r="B624">
            <v>6000000</v>
          </cell>
        </row>
        <row r="625">
          <cell r="A625" t="str">
            <v>177-2025</v>
          </cell>
          <cell r="B625">
            <v>9500000</v>
          </cell>
        </row>
        <row r="626">
          <cell r="A626" t="str">
            <v>201-2025</v>
          </cell>
          <cell r="B626">
            <v>6000000</v>
          </cell>
        </row>
        <row r="627">
          <cell r="A627" t="str">
            <v>187-2025</v>
          </cell>
          <cell r="B627">
            <v>9500000</v>
          </cell>
        </row>
        <row r="628">
          <cell r="A628" t="str">
            <v>209-2025</v>
          </cell>
          <cell r="B628">
            <v>6000000</v>
          </cell>
        </row>
        <row r="629">
          <cell r="A629" t="str">
            <v>276-2025</v>
          </cell>
          <cell r="B629">
            <v>6000000</v>
          </cell>
        </row>
        <row r="630">
          <cell r="A630" t="str">
            <v>226-2025</v>
          </cell>
          <cell r="B630">
            <v>9500000</v>
          </cell>
        </row>
        <row r="631">
          <cell r="A631" t="str">
            <v>214-2025</v>
          </cell>
          <cell r="B631">
            <v>6000000</v>
          </cell>
        </row>
        <row r="632">
          <cell r="A632" t="str">
            <v>178-2025</v>
          </cell>
          <cell r="B632">
            <v>9500000</v>
          </cell>
        </row>
        <row r="633">
          <cell r="A633" t="str">
            <v>240-2025</v>
          </cell>
          <cell r="B633">
            <v>15000000</v>
          </cell>
        </row>
        <row r="634">
          <cell r="A634" t="str">
            <v>233-2025</v>
          </cell>
          <cell r="B634">
            <v>12000000</v>
          </cell>
        </row>
        <row r="635">
          <cell r="A635" t="str">
            <v>238-2025</v>
          </cell>
          <cell r="B635">
            <v>6000000</v>
          </cell>
        </row>
        <row r="636">
          <cell r="A636" t="str">
            <v>270-2025</v>
          </cell>
          <cell r="B636">
            <v>6000000</v>
          </cell>
        </row>
        <row r="637">
          <cell r="A637" t="str">
            <v>223-2025</v>
          </cell>
          <cell r="B637">
            <v>6000000</v>
          </cell>
        </row>
        <row r="638">
          <cell r="A638" t="str">
            <v>179-2025</v>
          </cell>
          <cell r="B638">
            <v>9650000</v>
          </cell>
        </row>
        <row r="639">
          <cell r="A639" t="str">
            <v>263-2025</v>
          </cell>
          <cell r="B639">
            <v>6000000</v>
          </cell>
        </row>
        <row r="640">
          <cell r="A640" t="str">
            <v>193-2025</v>
          </cell>
          <cell r="B640">
            <v>9500000</v>
          </cell>
        </row>
        <row r="641">
          <cell r="A641" t="str">
            <v>271-2025</v>
          </cell>
          <cell r="B641">
            <v>9650000</v>
          </cell>
        </row>
        <row r="642">
          <cell r="A642" t="str">
            <v>261-2025</v>
          </cell>
          <cell r="B642">
            <v>5000000</v>
          </cell>
        </row>
        <row r="643">
          <cell r="A643" t="str">
            <v>302-2025</v>
          </cell>
          <cell r="B643">
            <v>9000000</v>
          </cell>
        </row>
        <row r="644">
          <cell r="A644" t="str">
            <v>266-2025</v>
          </cell>
          <cell r="B644">
            <v>5000000</v>
          </cell>
        </row>
        <row r="645">
          <cell r="A645" t="str">
            <v>228-2025</v>
          </cell>
          <cell r="B645">
            <v>15000000</v>
          </cell>
        </row>
        <row r="646">
          <cell r="A646" t="str">
            <v>221-2025</v>
          </cell>
          <cell r="B646">
            <v>6000000</v>
          </cell>
        </row>
        <row r="647">
          <cell r="A647" t="str">
            <v>267-2025</v>
          </cell>
          <cell r="B647">
            <v>6000000</v>
          </cell>
        </row>
        <row r="648">
          <cell r="A648" t="str">
            <v>278-2025</v>
          </cell>
          <cell r="B648">
            <v>12000000</v>
          </cell>
        </row>
        <row r="649">
          <cell r="A649" t="str">
            <v>262-2025</v>
          </cell>
          <cell r="B649">
            <v>5000000</v>
          </cell>
        </row>
        <row r="650">
          <cell r="A650" t="str">
            <v>217-2025</v>
          </cell>
          <cell r="B650">
            <v>9500000</v>
          </cell>
        </row>
        <row r="651">
          <cell r="A651" t="str">
            <v>265-2025</v>
          </cell>
          <cell r="B651">
            <v>9500000</v>
          </cell>
        </row>
        <row r="652">
          <cell r="A652" t="str">
            <v>282-2025</v>
          </cell>
          <cell r="B652">
            <v>5000000</v>
          </cell>
        </row>
        <row r="653">
          <cell r="A653" t="str">
            <v>292-2025</v>
          </cell>
          <cell r="B653">
            <v>159726725</v>
          </cell>
        </row>
        <row r="654">
          <cell r="A654" t="str">
            <v>245-2025</v>
          </cell>
          <cell r="B654">
            <v>6000000</v>
          </cell>
        </row>
        <row r="655">
          <cell r="A655" t="str">
            <v>242-2025</v>
          </cell>
          <cell r="B655">
            <v>9500000</v>
          </cell>
        </row>
        <row r="656">
          <cell r="A656" t="str">
            <v>202-2025</v>
          </cell>
          <cell r="B656">
            <v>12000000</v>
          </cell>
        </row>
        <row r="657">
          <cell r="A657" t="str">
            <v>183-2025</v>
          </cell>
          <cell r="B657">
            <v>6000000</v>
          </cell>
        </row>
        <row r="658">
          <cell r="A658" t="str">
            <v>227-2025</v>
          </cell>
          <cell r="B658">
            <v>6000000</v>
          </cell>
        </row>
        <row r="659">
          <cell r="A659" t="str">
            <v>219-2025</v>
          </cell>
          <cell r="B659">
            <v>5000000</v>
          </cell>
        </row>
        <row r="660">
          <cell r="A660" t="str">
            <v>199-2025</v>
          </cell>
          <cell r="B660">
            <v>4500000</v>
          </cell>
        </row>
        <row r="661">
          <cell r="A661" t="str">
            <v>200-2025</v>
          </cell>
          <cell r="B661">
            <v>5000000</v>
          </cell>
        </row>
        <row r="662">
          <cell r="A662" t="str">
            <v>279-2025</v>
          </cell>
          <cell r="B662">
            <v>5000000</v>
          </cell>
        </row>
        <row r="663">
          <cell r="A663" t="str">
            <v>281-2025</v>
          </cell>
          <cell r="B663">
            <v>9500000</v>
          </cell>
        </row>
        <row r="664">
          <cell r="A664" t="str">
            <v>251-2025</v>
          </cell>
          <cell r="B664">
            <v>6000000</v>
          </cell>
        </row>
        <row r="665">
          <cell r="A665" t="str">
            <v>274-2025</v>
          </cell>
          <cell r="B665">
            <v>6000000</v>
          </cell>
        </row>
        <row r="666">
          <cell r="A666" t="str">
            <v>268-2025</v>
          </cell>
          <cell r="B666">
            <v>5000000</v>
          </cell>
        </row>
        <row r="667">
          <cell r="A667" t="str">
            <v>310-2025</v>
          </cell>
          <cell r="B667">
            <v>3700000</v>
          </cell>
        </row>
        <row r="668">
          <cell r="A668" t="str">
            <v>239-2025</v>
          </cell>
          <cell r="B668">
            <v>6000000</v>
          </cell>
        </row>
        <row r="669">
          <cell r="A669" t="str">
            <v>184-2025</v>
          </cell>
          <cell r="B669">
            <v>6000000</v>
          </cell>
        </row>
        <row r="670">
          <cell r="A670" t="str">
            <v>224-2025</v>
          </cell>
          <cell r="B670">
            <v>6000000</v>
          </cell>
        </row>
        <row r="671">
          <cell r="A671" t="str">
            <v>259-2025</v>
          </cell>
          <cell r="B671">
            <v>145562000</v>
          </cell>
        </row>
        <row r="672">
          <cell r="A672" t="str">
            <v>260-2025</v>
          </cell>
          <cell r="B672">
            <v>106684483</v>
          </cell>
        </row>
        <row r="673">
          <cell r="A673" t="str">
            <v>311-2025</v>
          </cell>
          <cell r="B673">
            <v>3600000</v>
          </cell>
        </row>
        <row r="674">
          <cell r="A674" t="str">
            <v>252-2025</v>
          </cell>
          <cell r="B674">
            <v>5000000</v>
          </cell>
        </row>
        <row r="675">
          <cell r="A675" t="str">
            <v>304-2025</v>
          </cell>
          <cell r="B675">
            <v>5000000</v>
          </cell>
        </row>
        <row r="676">
          <cell r="A676" t="str">
            <v>309-2025</v>
          </cell>
          <cell r="B676">
            <v>3600000</v>
          </cell>
        </row>
        <row r="677">
          <cell r="A677" t="str">
            <v>303-2025</v>
          </cell>
          <cell r="B677">
            <v>5000000</v>
          </cell>
        </row>
        <row r="678">
          <cell r="A678" t="str">
            <v>314-2025</v>
          </cell>
          <cell r="B678">
            <v>7400000</v>
          </cell>
        </row>
        <row r="679">
          <cell r="A679" t="str">
            <v>364-2025</v>
          </cell>
          <cell r="B679">
            <v>2500000</v>
          </cell>
        </row>
        <row r="680">
          <cell r="A680" t="str">
            <v>225-2025</v>
          </cell>
          <cell r="B680">
            <v>6000000</v>
          </cell>
        </row>
        <row r="681">
          <cell r="A681" t="str">
            <v>366-2025</v>
          </cell>
          <cell r="B681">
            <v>2500000</v>
          </cell>
        </row>
        <row r="682">
          <cell r="A682" t="str">
            <v>346-2025</v>
          </cell>
          <cell r="B682">
            <v>6000000</v>
          </cell>
        </row>
        <row r="683">
          <cell r="A683" t="str">
            <v>386-2025</v>
          </cell>
          <cell r="B683">
            <v>3000000</v>
          </cell>
        </row>
        <row r="684">
          <cell r="A684" t="str">
            <v>196-2025</v>
          </cell>
          <cell r="B684">
            <v>460000</v>
          </cell>
        </row>
        <row r="685">
          <cell r="A685" t="str">
            <v>360-2025</v>
          </cell>
          <cell r="B685">
            <v>3000000</v>
          </cell>
        </row>
        <row r="686">
          <cell r="A686" t="str">
            <v>375-2025</v>
          </cell>
          <cell r="B686">
            <v>3000000</v>
          </cell>
        </row>
        <row r="687">
          <cell r="A687" t="str">
            <v>307-2025</v>
          </cell>
          <cell r="B687">
            <v>15000000</v>
          </cell>
        </row>
        <row r="688">
          <cell r="A688" t="str">
            <v>367-2025</v>
          </cell>
          <cell r="B688">
            <v>2500000</v>
          </cell>
        </row>
        <row r="689">
          <cell r="A689" t="str">
            <v>363-2025</v>
          </cell>
          <cell r="B689">
            <v>6000000</v>
          </cell>
        </row>
        <row r="690">
          <cell r="A690" t="str">
            <v>359-2025</v>
          </cell>
          <cell r="B690">
            <v>6000000</v>
          </cell>
        </row>
        <row r="691">
          <cell r="A691" t="str">
            <v>358-2025</v>
          </cell>
          <cell r="B691">
            <v>3000000</v>
          </cell>
        </row>
        <row r="692">
          <cell r="A692" t="str">
            <v>378-2025</v>
          </cell>
          <cell r="B692">
            <v>6000000</v>
          </cell>
        </row>
        <row r="693">
          <cell r="A693" t="str">
            <v>448-2025</v>
          </cell>
          <cell r="B693">
            <v>15000000</v>
          </cell>
        </row>
        <row r="694">
          <cell r="A694" t="str">
            <v>438-2025</v>
          </cell>
          <cell r="B694">
            <v>6000000</v>
          </cell>
        </row>
        <row r="695">
          <cell r="A695" t="str">
            <v>357-2025</v>
          </cell>
          <cell r="B695">
            <v>7500000</v>
          </cell>
        </row>
        <row r="696">
          <cell r="A696" t="str">
            <v>424-2025</v>
          </cell>
          <cell r="B696">
            <v>3000000</v>
          </cell>
        </row>
        <row r="697">
          <cell r="A697" t="str">
            <v>350-2025</v>
          </cell>
          <cell r="B697">
            <v>6000000</v>
          </cell>
        </row>
        <row r="698">
          <cell r="A698" t="str">
            <v>432-2025</v>
          </cell>
          <cell r="B698">
            <v>4900000</v>
          </cell>
        </row>
        <row r="699">
          <cell r="A699" t="str">
            <v>433-2025</v>
          </cell>
          <cell r="B699">
            <v>6000000</v>
          </cell>
        </row>
        <row r="700">
          <cell r="A700" t="str">
            <v>434-2025</v>
          </cell>
          <cell r="B700">
            <v>6000000</v>
          </cell>
        </row>
        <row r="701">
          <cell r="A701" t="str">
            <v>431-2025</v>
          </cell>
          <cell r="B701">
            <v>6000000</v>
          </cell>
        </row>
        <row r="702">
          <cell r="A702" t="str">
            <v>446-2025</v>
          </cell>
          <cell r="B702">
            <v>9500000</v>
          </cell>
        </row>
        <row r="703">
          <cell r="A703" t="str">
            <v>368-2025</v>
          </cell>
          <cell r="B703">
            <v>3000000</v>
          </cell>
        </row>
        <row r="704">
          <cell r="A704" t="str">
            <v>439-2025</v>
          </cell>
          <cell r="B704">
            <v>15000000</v>
          </cell>
        </row>
        <row r="705">
          <cell r="A705" t="str">
            <v>429-2025</v>
          </cell>
          <cell r="B705">
            <v>3000000</v>
          </cell>
        </row>
        <row r="706">
          <cell r="A706" t="str">
            <v>425-2025</v>
          </cell>
          <cell r="B706">
            <v>3000000</v>
          </cell>
        </row>
        <row r="707">
          <cell r="A707" t="str">
            <v>451-2025</v>
          </cell>
          <cell r="B707">
            <v>3000000</v>
          </cell>
        </row>
        <row r="708">
          <cell r="A708" t="str">
            <v>421-2025</v>
          </cell>
          <cell r="B708">
            <v>3000000</v>
          </cell>
        </row>
        <row r="709">
          <cell r="A709" t="str">
            <v>441-2025</v>
          </cell>
          <cell r="B709">
            <v>6000000</v>
          </cell>
        </row>
        <row r="710">
          <cell r="A710" t="str">
            <v>444-2025</v>
          </cell>
          <cell r="B710">
            <v>15000000</v>
          </cell>
        </row>
        <row r="711">
          <cell r="A711" t="str">
            <v>427-2025</v>
          </cell>
          <cell r="B711">
            <v>6000000</v>
          </cell>
        </row>
        <row r="712">
          <cell r="A712" t="str">
            <v>426-2025</v>
          </cell>
          <cell r="B712">
            <v>3000000</v>
          </cell>
        </row>
        <row r="713">
          <cell r="A713" t="str">
            <v>423-2025</v>
          </cell>
          <cell r="B713">
            <v>9500000</v>
          </cell>
        </row>
        <row r="714">
          <cell r="A714" t="str">
            <v>418-2025</v>
          </cell>
          <cell r="B714">
            <v>12000000</v>
          </cell>
        </row>
        <row r="715">
          <cell r="A715" t="str">
            <v>430-2025</v>
          </cell>
          <cell r="B715">
            <v>6000000</v>
          </cell>
        </row>
        <row r="716">
          <cell r="A716" t="str">
            <v>447-2025</v>
          </cell>
          <cell r="B716">
            <v>9500000</v>
          </cell>
        </row>
        <row r="717">
          <cell r="A717" t="str">
            <v>428-2025</v>
          </cell>
          <cell r="B717">
            <v>6000000</v>
          </cell>
        </row>
        <row r="718">
          <cell r="A718" t="str">
            <v>449-2025</v>
          </cell>
          <cell r="B718">
            <v>4825000</v>
          </cell>
        </row>
        <row r="719">
          <cell r="A719" t="str">
            <v>466-2025</v>
          </cell>
          <cell r="B719">
            <v>9650000</v>
          </cell>
        </row>
        <row r="720">
          <cell r="A720" t="str">
            <v>450-2025</v>
          </cell>
          <cell r="B720">
            <v>9500000</v>
          </cell>
        </row>
        <row r="721">
          <cell r="A721" t="str">
            <v>442-2025</v>
          </cell>
          <cell r="B721">
            <v>12000000</v>
          </cell>
        </row>
        <row r="722">
          <cell r="A722" t="str">
            <v>471-2025</v>
          </cell>
          <cell r="B722">
            <v>15000000</v>
          </cell>
        </row>
        <row r="723">
          <cell r="A723" t="str">
            <v>443-2025</v>
          </cell>
          <cell r="B723">
            <v>12000000</v>
          </cell>
        </row>
        <row r="724">
          <cell r="A724" t="str">
            <v>494-2025</v>
          </cell>
          <cell r="B724">
            <v>12000000</v>
          </cell>
        </row>
        <row r="725">
          <cell r="A725" t="str">
            <v>452-2025</v>
          </cell>
          <cell r="B725">
            <v>9650000</v>
          </cell>
        </row>
        <row r="726">
          <cell r="A726" t="str">
            <v>474-2025</v>
          </cell>
          <cell r="B726">
            <v>5000000</v>
          </cell>
        </row>
        <row r="727">
          <cell r="A727" t="str">
            <v>501-2025</v>
          </cell>
          <cell r="B727">
            <v>72172830</v>
          </cell>
        </row>
        <row r="728">
          <cell r="A728" t="str">
            <v>436-2025</v>
          </cell>
          <cell r="B728">
            <v>6000000</v>
          </cell>
        </row>
        <row r="729">
          <cell r="A729" t="str">
            <v>464-2025</v>
          </cell>
          <cell r="B729">
            <v>12000000</v>
          </cell>
        </row>
        <row r="730">
          <cell r="A730" t="str">
            <v>459-2025</v>
          </cell>
          <cell r="B730">
            <v>6000000</v>
          </cell>
        </row>
        <row r="731">
          <cell r="A731" t="str">
            <v>454-2025</v>
          </cell>
          <cell r="B731">
            <v>15000000</v>
          </cell>
        </row>
        <row r="732">
          <cell r="A732" t="str">
            <v>507-2025</v>
          </cell>
          <cell r="B732">
            <v>6000000</v>
          </cell>
        </row>
        <row r="733">
          <cell r="A733" t="str">
            <v>467-2025</v>
          </cell>
          <cell r="B733">
            <v>6000000</v>
          </cell>
        </row>
        <row r="734">
          <cell r="A734" t="str">
            <v>461-2025</v>
          </cell>
          <cell r="B734">
            <v>9650000</v>
          </cell>
        </row>
        <row r="735">
          <cell r="A735" t="str">
            <v>510-2025</v>
          </cell>
          <cell r="B735">
            <v>6000000</v>
          </cell>
        </row>
        <row r="736">
          <cell r="A736" t="str">
            <v>473-2025</v>
          </cell>
          <cell r="B736">
            <v>3000000</v>
          </cell>
        </row>
        <row r="737">
          <cell r="A737" t="str">
            <v>468-2025</v>
          </cell>
          <cell r="B737">
            <v>9500000</v>
          </cell>
        </row>
        <row r="738">
          <cell r="A738" t="str">
            <v>490-2025</v>
          </cell>
          <cell r="B738">
            <v>3000000</v>
          </cell>
        </row>
        <row r="739">
          <cell r="A739" t="str">
            <v>453-2025</v>
          </cell>
          <cell r="B739">
            <v>9500000</v>
          </cell>
        </row>
        <row r="740">
          <cell r="A740" t="str">
            <v>491-2025</v>
          </cell>
          <cell r="B740">
            <v>9500000</v>
          </cell>
        </row>
        <row r="741">
          <cell r="A741" t="str">
            <v>543-2025</v>
          </cell>
          <cell r="B741">
            <v>6000000</v>
          </cell>
        </row>
        <row r="742">
          <cell r="A742" t="str">
            <v>458-2025</v>
          </cell>
          <cell r="B742">
            <v>6000000</v>
          </cell>
        </row>
        <row r="743">
          <cell r="A743" t="str">
            <v>539-2025</v>
          </cell>
          <cell r="B743">
            <v>9650000</v>
          </cell>
        </row>
        <row r="744">
          <cell r="A744" t="str">
            <v>493-2025</v>
          </cell>
          <cell r="B744">
            <v>15000000</v>
          </cell>
        </row>
        <row r="745">
          <cell r="A745" t="str">
            <v>524-2025</v>
          </cell>
          <cell r="B745">
            <v>15000000</v>
          </cell>
        </row>
        <row r="746">
          <cell r="A746" t="str">
            <v>477-2025</v>
          </cell>
          <cell r="B746">
            <v>15000000</v>
          </cell>
        </row>
        <row r="747">
          <cell r="A747" t="str">
            <v>499-2025</v>
          </cell>
          <cell r="B747">
            <v>6000000</v>
          </cell>
        </row>
        <row r="748">
          <cell r="A748" t="str">
            <v>241-2025</v>
          </cell>
          <cell r="B748">
            <v>3000000</v>
          </cell>
        </row>
        <row r="749">
          <cell r="A749" t="str">
            <v>455-2025</v>
          </cell>
          <cell r="B749">
            <v>15000000</v>
          </cell>
        </row>
        <row r="750">
          <cell r="A750" t="str">
            <v>440-2025</v>
          </cell>
          <cell r="B750">
            <v>4825000</v>
          </cell>
        </row>
        <row r="751">
          <cell r="A751" t="str">
            <v>518-2025</v>
          </cell>
          <cell r="B751">
            <v>6000000</v>
          </cell>
        </row>
        <row r="752">
          <cell r="A752" t="str">
            <v>476-2025</v>
          </cell>
          <cell r="B752">
            <v>9500000</v>
          </cell>
        </row>
        <row r="753">
          <cell r="A753" t="str">
            <v>537-2025</v>
          </cell>
          <cell r="B753">
            <v>12000000</v>
          </cell>
        </row>
        <row r="754">
          <cell r="A754" t="str">
            <v>517-2025</v>
          </cell>
          <cell r="B754">
            <v>6000000</v>
          </cell>
        </row>
        <row r="755">
          <cell r="A755" t="str">
            <v>513-2025</v>
          </cell>
          <cell r="B755">
            <v>6000000</v>
          </cell>
        </row>
        <row r="756">
          <cell r="A756" t="str">
            <v>516-2025</v>
          </cell>
          <cell r="B756">
            <v>6000000</v>
          </cell>
        </row>
        <row r="757">
          <cell r="A757" t="str">
            <v>495-2025</v>
          </cell>
          <cell r="B757">
            <v>6000000</v>
          </cell>
        </row>
        <row r="758">
          <cell r="A758" t="str">
            <v>536-2025</v>
          </cell>
          <cell r="B758">
            <v>9650000</v>
          </cell>
        </row>
        <row r="759">
          <cell r="A759" t="str">
            <v>521-2025</v>
          </cell>
          <cell r="B759">
            <v>6000000</v>
          </cell>
        </row>
        <row r="760">
          <cell r="A760" t="str">
            <v>509-2025</v>
          </cell>
          <cell r="B760">
            <v>9650000</v>
          </cell>
        </row>
        <row r="761">
          <cell r="A761" t="str">
            <v>472-2025</v>
          </cell>
          <cell r="B761">
            <v>6000000</v>
          </cell>
        </row>
        <row r="762">
          <cell r="A762" t="str">
            <v>489-2025</v>
          </cell>
          <cell r="B762">
            <v>6000000</v>
          </cell>
        </row>
        <row r="763">
          <cell r="A763" t="str">
            <v>465-2025</v>
          </cell>
          <cell r="B763">
            <v>9500000</v>
          </cell>
        </row>
        <row r="764">
          <cell r="A764" t="str">
            <v>478-2025</v>
          </cell>
          <cell r="B764">
            <v>5000000</v>
          </cell>
        </row>
        <row r="765">
          <cell r="A765" t="str">
            <v>527-2025</v>
          </cell>
          <cell r="B765">
            <v>9500000</v>
          </cell>
        </row>
        <row r="766">
          <cell r="A766" t="str">
            <v>480-2025</v>
          </cell>
          <cell r="B766">
            <v>6000000</v>
          </cell>
        </row>
        <row r="767">
          <cell r="A767" t="str">
            <v>482-2025</v>
          </cell>
          <cell r="B767">
            <v>3000000</v>
          </cell>
        </row>
        <row r="768">
          <cell r="A768" t="str">
            <v>483-2025</v>
          </cell>
          <cell r="B768">
            <v>6000000</v>
          </cell>
        </row>
        <row r="769">
          <cell r="A769" t="str">
            <v>573-2025</v>
          </cell>
          <cell r="B769">
            <v>6000000</v>
          </cell>
        </row>
        <row r="770">
          <cell r="A770" t="str">
            <v>568-2025</v>
          </cell>
          <cell r="B770">
            <v>3000000</v>
          </cell>
        </row>
        <row r="771">
          <cell r="A771" t="str">
            <v>572-2025</v>
          </cell>
          <cell r="B771">
            <v>12000000</v>
          </cell>
        </row>
        <row r="772">
          <cell r="A772" t="str">
            <v>552-2025</v>
          </cell>
          <cell r="B772">
            <v>6000000</v>
          </cell>
        </row>
        <row r="773">
          <cell r="A773" t="str">
            <v>504-2025</v>
          </cell>
          <cell r="B773">
            <v>12000000</v>
          </cell>
        </row>
        <row r="774">
          <cell r="A774" t="str">
            <v>592-2025</v>
          </cell>
          <cell r="B774">
            <v>6000000</v>
          </cell>
        </row>
        <row r="775">
          <cell r="A775" t="str">
            <v>606-2025</v>
          </cell>
          <cell r="B775">
            <v>6000000</v>
          </cell>
        </row>
        <row r="776">
          <cell r="A776" t="str">
            <v>565-2025</v>
          </cell>
          <cell r="B776">
            <v>6000000</v>
          </cell>
        </row>
        <row r="777">
          <cell r="A777" t="str">
            <v>498-2025</v>
          </cell>
          <cell r="B777">
            <v>6000000</v>
          </cell>
        </row>
        <row r="778">
          <cell r="A778" t="str">
            <v>575-2025</v>
          </cell>
          <cell r="B778">
            <v>6000000</v>
          </cell>
        </row>
        <row r="779">
          <cell r="A779" t="str">
            <v>607-2025</v>
          </cell>
          <cell r="B779">
            <v>6000000</v>
          </cell>
        </row>
        <row r="780">
          <cell r="A780" t="str">
            <v>462-2025</v>
          </cell>
          <cell r="B780">
            <v>2500000</v>
          </cell>
        </row>
        <row r="781">
          <cell r="A781" t="str">
            <v>500-2025</v>
          </cell>
          <cell r="B781">
            <v>6000000</v>
          </cell>
        </row>
        <row r="782">
          <cell r="A782" t="str">
            <v>514-2025</v>
          </cell>
          <cell r="B782">
            <v>3000000</v>
          </cell>
        </row>
        <row r="783">
          <cell r="A783" t="str">
            <v>502-2025</v>
          </cell>
          <cell r="B783">
            <v>6000000</v>
          </cell>
        </row>
        <row r="784">
          <cell r="A784" t="str">
            <v>541-2025</v>
          </cell>
          <cell r="B784">
            <v>6000000</v>
          </cell>
        </row>
        <row r="785">
          <cell r="A785" t="str">
            <v>463-2025</v>
          </cell>
          <cell r="B785">
            <v>12000000</v>
          </cell>
        </row>
        <row r="786">
          <cell r="A786" t="str">
            <v>550-2025</v>
          </cell>
          <cell r="B786">
            <v>3000000</v>
          </cell>
        </row>
        <row r="787">
          <cell r="A787" t="str">
            <v>545-2025</v>
          </cell>
          <cell r="B787">
            <v>12000000</v>
          </cell>
        </row>
        <row r="788">
          <cell r="A788" t="str">
            <v>533-2025</v>
          </cell>
          <cell r="B788">
            <v>5000000</v>
          </cell>
        </row>
        <row r="789">
          <cell r="A789" t="str">
            <v>540-2025</v>
          </cell>
          <cell r="B789">
            <v>9500000</v>
          </cell>
        </row>
        <row r="790">
          <cell r="A790" t="str">
            <v>576-2025</v>
          </cell>
          <cell r="B790">
            <v>2500000</v>
          </cell>
        </row>
        <row r="791">
          <cell r="A791" t="str">
            <v>608-2025</v>
          </cell>
          <cell r="B791">
            <v>6000000</v>
          </cell>
        </row>
        <row r="792">
          <cell r="A792" t="str">
            <v>605-2025</v>
          </cell>
          <cell r="B792">
            <v>6000000</v>
          </cell>
        </row>
        <row r="793">
          <cell r="A793" t="str">
            <v>615-2025</v>
          </cell>
          <cell r="B793">
            <v>6000000</v>
          </cell>
        </row>
        <row r="794">
          <cell r="A794" t="str">
            <v>594-2025</v>
          </cell>
          <cell r="B794">
            <v>6000000</v>
          </cell>
        </row>
        <row r="795">
          <cell r="A795" t="str">
            <v>557-2025</v>
          </cell>
          <cell r="B795">
            <v>12000000</v>
          </cell>
        </row>
        <row r="796">
          <cell r="A796" t="str">
            <v>515-2025</v>
          </cell>
          <cell r="B796">
            <v>22500000</v>
          </cell>
        </row>
        <row r="797">
          <cell r="A797" t="str">
            <v>497-2025</v>
          </cell>
          <cell r="B797">
            <v>3000000</v>
          </cell>
        </row>
        <row r="798">
          <cell r="A798" t="str">
            <v>503-2025</v>
          </cell>
          <cell r="B798">
            <v>6000000</v>
          </cell>
        </row>
        <row r="799">
          <cell r="A799" t="str">
            <v>457-2025</v>
          </cell>
          <cell r="B799">
            <v>5000000</v>
          </cell>
        </row>
        <row r="800">
          <cell r="A800" t="str">
            <v>520-2025</v>
          </cell>
          <cell r="B800">
            <v>4750000</v>
          </cell>
        </row>
        <row r="801">
          <cell r="A801" t="str">
            <v>547-2025</v>
          </cell>
          <cell r="B801">
            <v>15000000</v>
          </cell>
        </row>
        <row r="802">
          <cell r="A802" t="str">
            <v>496-2025</v>
          </cell>
          <cell r="B802">
            <v>12000000</v>
          </cell>
        </row>
        <row r="803">
          <cell r="A803" t="str">
            <v>554-2025</v>
          </cell>
          <cell r="B803">
            <v>2500000</v>
          </cell>
        </row>
        <row r="804">
          <cell r="A804" t="str">
            <v>535-2025</v>
          </cell>
          <cell r="B804">
            <v>6000000</v>
          </cell>
        </row>
        <row r="805">
          <cell r="A805" t="str">
            <v>635-2025</v>
          </cell>
          <cell r="B805">
            <v>169523066</v>
          </cell>
        </row>
        <row r="806">
          <cell r="A806" t="str">
            <v>553-2025</v>
          </cell>
          <cell r="B806">
            <v>2500000</v>
          </cell>
        </row>
        <row r="807">
          <cell r="A807" t="str">
            <v>548-2025</v>
          </cell>
          <cell r="B807">
            <v>3000000</v>
          </cell>
        </row>
        <row r="808">
          <cell r="A808" t="str">
            <v>544-2025</v>
          </cell>
          <cell r="B808">
            <v>2500000</v>
          </cell>
        </row>
        <row r="809">
          <cell r="A809" t="str">
            <v>479-2025</v>
          </cell>
          <cell r="B809">
            <v>6000000</v>
          </cell>
        </row>
        <row r="810">
          <cell r="A810" t="str">
            <v>481-2025</v>
          </cell>
          <cell r="B810">
            <v>6000000</v>
          </cell>
        </row>
        <row r="811">
          <cell r="A811" t="str">
            <v>564-2025</v>
          </cell>
          <cell r="B811">
            <v>6000000</v>
          </cell>
        </row>
        <row r="812">
          <cell r="A812" t="str">
            <v>484-2025</v>
          </cell>
          <cell r="B812">
            <v>2500000</v>
          </cell>
        </row>
        <row r="813">
          <cell r="A813" t="str">
            <v>637-2025</v>
          </cell>
          <cell r="B813">
            <v>2500000</v>
          </cell>
        </row>
        <row r="814">
          <cell r="A814" t="str">
            <v>556-2025</v>
          </cell>
          <cell r="B814">
            <v>2600000</v>
          </cell>
        </row>
        <row r="815">
          <cell r="A815" t="str">
            <v>633-2025</v>
          </cell>
          <cell r="B815">
            <v>3000000</v>
          </cell>
        </row>
        <row r="816">
          <cell r="A816" t="str">
            <v>654-2025</v>
          </cell>
          <cell r="B816">
            <v>3000000</v>
          </cell>
        </row>
        <row r="817">
          <cell r="A817" t="str">
            <v>525-2025</v>
          </cell>
          <cell r="B817">
            <v>2500000</v>
          </cell>
        </row>
        <row r="818">
          <cell r="A818" t="str">
            <v>655-2025</v>
          </cell>
          <cell r="B818">
            <v>3000000</v>
          </cell>
        </row>
        <row r="819">
          <cell r="A819" t="str">
            <v>546-2025</v>
          </cell>
          <cell r="B819">
            <v>3000000</v>
          </cell>
        </row>
        <row r="820">
          <cell r="A820" t="str">
            <v>590-2025</v>
          </cell>
          <cell r="B820">
            <v>4825000</v>
          </cell>
        </row>
        <row r="821">
          <cell r="A821" t="str">
            <v>660-2025</v>
          </cell>
          <cell r="B821">
            <v>6000000</v>
          </cell>
        </row>
        <row r="822">
          <cell r="A822" t="str">
            <v>601-2025</v>
          </cell>
          <cell r="B822">
            <v>6000000</v>
          </cell>
        </row>
        <row r="823">
          <cell r="A823" t="str">
            <v>456-2025</v>
          </cell>
          <cell r="B823">
            <v>3000000</v>
          </cell>
        </row>
        <row r="824">
          <cell r="A824" t="str">
            <v>522-2025</v>
          </cell>
          <cell r="B824">
            <v>2500000</v>
          </cell>
        </row>
        <row r="825">
          <cell r="A825" t="str">
            <v>487-2025</v>
          </cell>
          <cell r="B825">
            <v>7500000</v>
          </cell>
        </row>
        <row r="826">
          <cell r="A826" t="str">
            <v>530-2025</v>
          </cell>
          <cell r="B826">
            <v>72299010</v>
          </cell>
        </row>
        <row r="827">
          <cell r="A827" t="str">
            <v>549-2025</v>
          </cell>
          <cell r="B827">
            <v>3000000</v>
          </cell>
        </row>
        <row r="828">
          <cell r="A828" t="str">
            <v>614-2025</v>
          </cell>
          <cell r="B828">
            <v>3000000</v>
          </cell>
        </row>
        <row r="829">
          <cell r="A829" t="str">
            <v>643-2025</v>
          </cell>
          <cell r="B829">
            <v>6000000</v>
          </cell>
        </row>
        <row r="830">
          <cell r="A830" t="str">
            <v>569-2025</v>
          </cell>
          <cell r="B830">
            <v>2500000</v>
          </cell>
        </row>
        <row r="831">
          <cell r="A831" t="str">
            <v>488-2025</v>
          </cell>
          <cell r="B831">
            <v>5000000</v>
          </cell>
        </row>
        <row r="832">
          <cell r="A832" t="str">
            <v>532-2025</v>
          </cell>
          <cell r="B832">
            <v>5000000</v>
          </cell>
        </row>
        <row r="833">
          <cell r="A833" t="str">
            <v>642-2025</v>
          </cell>
          <cell r="B833">
            <v>3000000</v>
          </cell>
        </row>
        <row r="834">
          <cell r="A834" t="str">
            <v>609-2025</v>
          </cell>
          <cell r="B834">
            <v>2500000</v>
          </cell>
        </row>
        <row r="835">
          <cell r="A835" t="str">
            <v>631-2025</v>
          </cell>
          <cell r="B835">
            <v>6000000</v>
          </cell>
        </row>
        <row r="836">
          <cell r="A836" t="str">
            <v>475-2025</v>
          </cell>
          <cell r="B836">
            <v>6000000</v>
          </cell>
        </row>
        <row r="837">
          <cell r="A837" t="str">
            <v>580-2025</v>
          </cell>
          <cell r="B837">
            <v>3000000</v>
          </cell>
        </row>
        <row r="838">
          <cell r="A838" t="str">
            <v>667-2025</v>
          </cell>
          <cell r="B838">
            <v>3000000</v>
          </cell>
        </row>
        <row r="839">
          <cell r="A839" t="str">
            <v>470-2025</v>
          </cell>
          <cell r="B839">
            <v>4825000</v>
          </cell>
        </row>
        <row r="840">
          <cell r="A840" t="str">
            <v>663-2025</v>
          </cell>
          <cell r="B840">
            <v>6000000</v>
          </cell>
        </row>
        <row r="841">
          <cell r="A841" t="str">
            <v>574-2025</v>
          </cell>
          <cell r="B841">
            <v>2500000</v>
          </cell>
        </row>
        <row r="842">
          <cell r="A842" t="str">
            <v>492-2025</v>
          </cell>
          <cell r="B842">
            <v>3000000</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tabSelected="1" zoomScaleNormal="100" workbookViewId="0">
      <selection activeCell="H6" sqref="H6"/>
    </sheetView>
  </sheetViews>
  <sheetFormatPr baseColWidth="10" defaultColWidth="14.42578125" defaultRowHeight="15" customHeight="1" x14ac:dyDescent="0.25"/>
  <cols>
    <col min="1" max="1" width="12.85546875" bestFit="1" customWidth="1"/>
    <col min="2" max="2" width="18.85546875" bestFit="1" customWidth="1"/>
    <col min="3" max="3" width="16.140625" style="22" customWidth="1"/>
    <col min="4" max="4" width="14.7109375" style="22" bestFit="1" customWidth="1"/>
    <col min="5" max="5" width="15.42578125" style="22" bestFit="1" customWidth="1"/>
    <col min="6" max="6" width="10.7109375" customWidth="1"/>
    <col min="7" max="7" width="22.5703125" style="22" bestFit="1" customWidth="1"/>
    <col min="8" max="8" width="11.140625" customWidth="1"/>
    <col min="9" max="9" width="7.7109375" customWidth="1"/>
    <col min="10" max="10" width="5" customWidth="1"/>
    <col min="11" max="11" width="16.28515625" customWidth="1"/>
    <col min="12" max="12" width="37.7109375" customWidth="1"/>
    <col min="13" max="13" width="16.28515625" customWidth="1"/>
    <col min="14" max="14" width="35.85546875" customWidth="1"/>
    <col min="15" max="15" width="18.28515625" bestFit="1" customWidth="1"/>
    <col min="16" max="16" width="33.42578125" style="22" customWidth="1"/>
    <col min="17" max="17" width="15.42578125" bestFit="1" customWidth="1"/>
    <col min="18" max="28" width="10.7109375" customWidth="1"/>
  </cols>
  <sheetData>
    <row r="1" spans="1:17" x14ac:dyDescent="0.25">
      <c r="A1" t="s">
        <v>739</v>
      </c>
      <c r="B1" t="s">
        <v>0</v>
      </c>
      <c r="C1" s="6" t="s">
        <v>11</v>
      </c>
      <c r="D1" s="22" t="s">
        <v>734</v>
      </c>
      <c r="E1" s="21" t="s">
        <v>741</v>
      </c>
      <c r="F1" s="3" t="s">
        <v>2</v>
      </c>
      <c r="G1" s="6" t="s">
        <v>3</v>
      </c>
      <c r="H1" s="5" t="s">
        <v>4</v>
      </c>
      <c r="I1" s="3" t="s">
        <v>5</v>
      </c>
      <c r="J1" s="3" t="s">
        <v>6</v>
      </c>
      <c r="K1" s="3" t="s">
        <v>7</v>
      </c>
      <c r="L1" s="3" t="s">
        <v>8</v>
      </c>
      <c r="M1" s="3" t="s">
        <v>9</v>
      </c>
      <c r="N1" t="s">
        <v>10</v>
      </c>
      <c r="O1" s="14" t="s">
        <v>737</v>
      </c>
    </row>
    <row r="2" spans="1:17" x14ac:dyDescent="0.25">
      <c r="A2" t="s">
        <v>740</v>
      </c>
      <c r="B2" s="25" t="s">
        <v>73</v>
      </c>
      <c r="C2" s="22">
        <v>24000000</v>
      </c>
      <c r="D2" s="22">
        <v>24000000</v>
      </c>
      <c r="E2" s="22">
        <f>C2-D2</f>
        <v>0</v>
      </c>
      <c r="F2" s="14" t="s">
        <v>73</v>
      </c>
      <c r="G2" s="6" cm="1">
        <f t="array" ref="G2:G224">VLOOKUP(B2:B224,[2]Hoja2!$A$1:$B$842,2,0)</f>
        <v>24000000</v>
      </c>
      <c r="H2" s="4"/>
      <c r="I2" s="3"/>
      <c r="J2" s="14"/>
      <c r="K2" s="3"/>
      <c r="L2" s="3"/>
      <c r="M2" s="3"/>
      <c r="Q2" s="22"/>
    </row>
    <row r="3" spans="1:17" x14ac:dyDescent="0.25">
      <c r="A3" t="s">
        <v>740</v>
      </c>
      <c r="B3" s="17" t="s">
        <v>125</v>
      </c>
      <c r="C3" s="22">
        <v>18000000</v>
      </c>
      <c r="D3" s="22">
        <v>24000000</v>
      </c>
      <c r="E3" s="22">
        <f t="shared" ref="E3:E66" si="0">C3-D3</f>
        <v>-6000000</v>
      </c>
      <c r="F3" s="14"/>
      <c r="G3" s="6">
        <v>24000000</v>
      </c>
      <c r="H3" s="4"/>
      <c r="I3" s="3"/>
      <c r="J3" s="3"/>
      <c r="K3" s="3"/>
      <c r="L3" s="3"/>
      <c r="M3" s="3"/>
      <c r="Q3" s="22"/>
    </row>
    <row r="4" spans="1:17" x14ac:dyDescent="0.25">
      <c r="A4" t="s">
        <v>740</v>
      </c>
      <c r="B4" t="s">
        <v>128</v>
      </c>
      <c r="C4" s="22">
        <v>18000000</v>
      </c>
      <c r="D4" s="22">
        <v>24000000</v>
      </c>
      <c r="E4" s="22">
        <f t="shared" si="0"/>
        <v>-6000000</v>
      </c>
      <c r="F4" s="14"/>
      <c r="G4" s="6">
        <v>24000000</v>
      </c>
      <c r="H4" s="4"/>
      <c r="I4" s="3"/>
      <c r="J4" s="3"/>
      <c r="K4" s="3"/>
      <c r="L4" s="3"/>
      <c r="M4" s="3"/>
      <c r="Q4" s="22"/>
    </row>
    <row r="5" spans="1:17" x14ac:dyDescent="0.25">
      <c r="A5" t="s">
        <v>740</v>
      </c>
      <c r="B5" t="s">
        <v>43</v>
      </c>
      <c r="C5" s="22">
        <v>30000000</v>
      </c>
      <c r="D5" s="22">
        <v>30000000</v>
      </c>
      <c r="E5" s="22">
        <f t="shared" si="0"/>
        <v>0</v>
      </c>
      <c r="F5" s="14"/>
      <c r="G5" s="6">
        <v>30000000</v>
      </c>
      <c r="H5" s="4"/>
      <c r="I5" s="3"/>
      <c r="J5" s="3"/>
      <c r="K5" s="3"/>
      <c r="L5" s="3"/>
      <c r="M5" s="3"/>
      <c r="Q5" s="22"/>
    </row>
    <row r="6" spans="1:17" x14ac:dyDescent="0.25">
      <c r="A6" t="s">
        <v>740</v>
      </c>
      <c r="B6" t="s">
        <v>48</v>
      </c>
      <c r="C6" s="22">
        <v>30000000</v>
      </c>
      <c r="D6" s="22">
        <v>30000000</v>
      </c>
      <c r="E6" s="22">
        <f t="shared" si="0"/>
        <v>0</v>
      </c>
      <c r="F6" s="14"/>
      <c r="G6" s="6">
        <v>30000000</v>
      </c>
      <c r="H6" s="4"/>
      <c r="I6" s="3"/>
      <c r="J6" s="3"/>
      <c r="K6" s="3"/>
      <c r="L6" s="3"/>
      <c r="M6" s="3"/>
      <c r="Q6" s="22"/>
    </row>
    <row r="7" spans="1:17" x14ac:dyDescent="0.25">
      <c r="A7" t="s">
        <v>740</v>
      </c>
      <c r="B7" t="s">
        <v>102</v>
      </c>
      <c r="C7" s="22">
        <v>22500000</v>
      </c>
      <c r="D7" s="22">
        <v>30000000</v>
      </c>
      <c r="E7" s="22">
        <f t="shared" si="0"/>
        <v>-7500000</v>
      </c>
      <c r="F7" s="14"/>
      <c r="G7" s="6">
        <v>30000000</v>
      </c>
      <c r="H7" s="4"/>
      <c r="I7" s="3"/>
      <c r="J7" s="3"/>
      <c r="K7" s="3"/>
      <c r="L7" s="3"/>
      <c r="M7" s="3"/>
      <c r="Q7" s="22"/>
    </row>
    <row r="8" spans="1:17" x14ac:dyDescent="0.25">
      <c r="A8" t="s">
        <v>740</v>
      </c>
      <c r="B8" t="s">
        <v>50</v>
      </c>
      <c r="C8" s="22">
        <v>30000000</v>
      </c>
      <c r="D8" s="22">
        <v>30000000</v>
      </c>
      <c r="E8" s="22">
        <f t="shared" si="0"/>
        <v>0</v>
      </c>
      <c r="F8" s="14"/>
      <c r="G8" s="6">
        <v>30000000</v>
      </c>
      <c r="H8" s="4"/>
      <c r="I8" s="3"/>
      <c r="J8" s="3"/>
      <c r="K8" s="3"/>
      <c r="L8" s="3"/>
      <c r="M8" s="3"/>
      <c r="Q8" s="22"/>
    </row>
    <row r="9" spans="1:17" x14ac:dyDescent="0.25">
      <c r="A9" t="s">
        <v>740</v>
      </c>
      <c r="B9" t="s">
        <v>92</v>
      </c>
      <c r="C9" s="22">
        <v>30000000</v>
      </c>
      <c r="D9" s="22">
        <v>30000000</v>
      </c>
      <c r="E9" s="22">
        <f t="shared" si="0"/>
        <v>0</v>
      </c>
      <c r="F9" s="14"/>
      <c r="G9" s="6">
        <v>30000000</v>
      </c>
      <c r="H9" s="4"/>
      <c r="I9" s="3"/>
      <c r="J9" s="3"/>
      <c r="K9" s="3"/>
      <c r="L9" s="3"/>
      <c r="M9" s="3"/>
      <c r="Q9" s="22"/>
    </row>
    <row r="10" spans="1:17" x14ac:dyDescent="0.25">
      <c r="A10" t="s">
        <v>740</v>
      </c>
      <c r="B10" t="s">
        <v>185</v>
      </c>
      <c r="C10" s="22">
        <v>14250000</v>
      </c>
      <c r="D10" s="22">
        <v>19000000</v>
      </c>
      <c r="E10" s="22">
        <f t="shared" si="0"/>
        <v>-4750000</v>
      </c>
      <c r="F10" s="14"/>
      <c r="G10" s="6">
        <v>19000000</v>
      </c>
      <c r="H10" s="4"/>
      <c r="I10" s="3"/>
      <c r="J10" s="3"/>
      <c r="K10" s="3"/>
      <c r="L10" s="3"/>
      <c r="M10" s="3"/>
      <c r="Q10" s="22"/>
    </row>
    <row r="11" spans="1:17" x14ac:dyDescent="0.25">
      <c r="A11" t="s">
        <v>740</v>
      </c>
      <c r="B11" t="s">
        <v>40</v>
      </c>
      <c r="C11" s="22">
        <v>19000000</v>
      </c>
      <c r="D11" s="22">
        <v>19000000</v>
      </c>
      <c r="E11" s="22">
        <f t="shared" si="0"/>
        <v>0</v>
      </c>
      <c r="F11" s="14"/>
      <c r="G11" s="6">
        <v>19000000</v>
      </c>
      <c r="H11" s="4"/>
      <c r="I11" s="3"/>
      <c r="J11" s="3"/>
      <c r="K11" s="3"/>
      <c r="L11" s="3"/>
      <c r="M11" s="3"/>
      <c r="Q11" s="22"/>
    </row>
    <row r="12" spans="1:17" x14ac:dyDescent="0.25">
      <c r="A12" t="s">
        <v>740</v>
      </c>
      <c r="B12" t="s">
        <v>45</v>
      </c>
      <c r="C12" s="22">
        <v>19000000</v>
      </c>
      <c r="D12" s="22">
        <v>19000000</v>
      </c>
      <c r="E12" s="22">
        <f t="shared" si="0"/>
        <v>0</v>
      </c>
      <c r="F12" s="14"/>
      <c r="G12" s="6">
        <v>19000000</v>
      </c>
      <c r="H12" s="4"/>
      <c r="I12" s="3"/>
      <c r="J12" s="3"/>
      <c r="K12" s="3"/>
      <c r="L12" s="3"/>
      <c r="M12" s="3"/>
      <c r="Q12" s="22"/>
    </row>
    <row r="13" spans="1:17" x14ac:dyDescent="0.25">
      <c r="A13" t="s">
        <v>740</v>
      </c>
      <c r="B13" t="s">
        <v>181</v>
      </c>
      <c r="C13" s="22">
        <v>14250000</v>
      </c>
      <c r="D13" s="22">
        <v>19000000</v>
      </c>
      <c r="E13" s="22">
        <f t="shared" si="0"/>
        <v>-4750000</v>
      </c>
      <c r="F13" s="14"/>
      <c r="G13" s="6">
        <v>19000000</v>
      </c>
      <c r="H13" s="4"/>
      <c r="I13" s="3"/>
      <c r="J13" s="3"/>
      <c r="K13" s="3"/>
      <c r="L13" s="3"/>
      <c r="M13" s="3"/>
      <c r="Q13" s="22"/>
    </row>
    <row r="14" spans="1:17" x14ac:dyDescent="0.25">
      <c r="A14" t="s">
        <v>740</v>
      </c>
      <c r="B14" t="s">
        <v>70</v>
      </c>
      <c r="C14" s="22">
        <v>19000000</v>
      </c>
      <c r="D14" s="22">
        <v>19000000</v>
      </c>
      <c r="E14" s="22">
        <f t="shared" si="0"/>
        <v>0</v>
      </c>
      <c r="F14" s="14"/>
      <c r="G14" s="6">
        <v>19000000</v>
      </c>
      <c r="H14" s="4"/>
      <c r="I14" s="3"/>
      <c r="J14" s="3"/>
      <c r="K14" s="3"/>
      <c r="L14" s="3"/>
      <c r="M14" s="3"/>
      <c r="Q14" s="22"/>
    </row>
    <row r="15" spans="1:17" x14ac:dyDescent="0.25">
      <c r="A15" t="s">
        <v>740</v>
      </c>
      <c r="B15" t="s">
        <v>65</v>
      </c>
      <c r="C15" s="22">
        <v>19302400</v>
      </c>
      <c r="D15" s="22">
        <v>19302400</v>
      </c>
      <c r="E15" s="22">
        <f t="shared" si="0"/>
        <v>0</v>
      </c>
      <c r="F15" s="14"/>
      <c r="G15" s="6">
        <v>19302400</v>
      </c>
      <c r="H15" s="4"/>
      <c r="I15" s="3"/>
      <c r="J15" s="3"/>
      <c r="K15" s="3"/>
      <c r="L15" s="3"/>
      <c r="M15" s="3"/>
      <c r="Q15" s="22"/>
    </row>
    <row r="16" spans="1:17" x14ac:dyDescent="0.25">
      <c r="A16" t="s">
        <v>740</v>
      </c>
      <c r="B16" t="s">
        <v>148</v>
      </c>
      <c r="C16" s="22">
        <v>14476800</v>
      </c>
      <c r="D16" s="22">
        <v>19302400</v>
      </c>
      <c r="E16" s="22">
        <f t="shared" si="0"/>
        <v>-4825600</v>
      </c>
      <c r="F16" s="14"/>
      <c r="G16" s="6">
        <v>19302400</v>
      </c>
      <c r="H16" s="4"/>
      <c r="I16" s="3"/>
      <c r="J16" s="3"/>
      <c r="K16" s="3"/>
      <c r="L16" s="3"/>
      <c r="M16" s="3"/>
      <c r="Q16" s="22"/>
    </row>
    <row r="17" spans="1:17" x14ac:dyDescent="0.25">
      <c r="A17" t="s">
        <v>740</v>
      </c>
      <c r="B17" t="s">
        <v>30</v>
      </c>
      <c r="C17" s="22">
        <v>19302400</v>
      </c>
      <c r="D17" s="22">
        <v>19302400</v>
      </c>
      <c r="E17" s="22">
        <f t="shared" si="0"/>
        <v>0</v>
      </c>
      <c r="F17" s="14"/>
      <c r="G17" s="6">
        <v>19302400</v>
      </c>
      <c r="H17" s="4"/>
      <c r="I17" s="3"/>
      <c r="J17" s="3"/>
      <c r="K17" s="3"/>
      <c r="L17" s="3"/>
      <c r="M17" s="3"/>
      <c r="Q17" s="22"/>
    </row>
    <row r="18" spans="1:17" x14ac:dyDescent="0.25">
      <c r="A18" t="s">
        <v>740</v>
      </c>
      <c r="B18" t="s">
        <v>82</v>
      </c>
      <c r="C18" s="22">
        <v>19302400</v>
      </c>
      <c r="D18" s="22">
        <v>19302400</v>
      </c>
      <c r="E18" s="22">
        <f t="shared" si="0"/>
        <v>0</v>
      </c>
      <c r="F18" s="14"/>
      <c r="G18" s="6">
        <v>19302400</v>
      </c>
      <c r="H18" s="4"/>
      <c r="I18" s="3"/>
      <c r="J18" s="3"/>
      <c r="K18" s="3"/>
      <c r="L18" s="3"/>
      <c r="M18" s="3"/>
      <c r="Q18" s="22"/>
    </row>
    <row r="19" spans="1:17" x14ac:dyDescent="0.25">
      <c r="A19" t="s">
        <v>740</v>
      </c>
      <c r="B19" t="s">
        <v>59</v>
      </c>
      <c r="C19" s="22">
        <v>19302400</v>
      </c>
      <c r="D19" s="22">
        <v>19302400</v>
      </c>
      <c r="E19" s="22">
        <f t="shared" si="0"/>
        <v>0</v>
      </c>
      <c r="F19" s="14"/>
      <c r="G19" s="6">
        <v>19302400</v>
      </c>
      <c r="H19" s="4"/>
      <c r="I19" s="3"/>
      <c r="J19" s="3"/>
      <c r="K19" s="3"/>
      <c r="L19" s="3"/>
      <c r="M19" s="3"/>
      <c r="Q19" s="22"/>
    </row>
    <row r="20" spans="1:17" x14ac:dyDescent="0.25">
      <c r="A20" t="s">
        <v>740</v>
      </c>
      <c r="B20" t="s">
        <v>38</v>
      </c>
      <c r="C20" s="22">
        <v>8000000</v>
      </c>
      <c r="D20" s="22">
        <v>8000000</v>
      </c>
      <c r="E20" s="22">
        <f t="shared" si="0"/>
        <v>0</v>
      </c>
      <c r="F20" s="14"/>
      <c r="G20" s="6">
        <v>8000000</v>
      </c>
      <c r="H20" s="4"/>
      <c r="I20" s="3"/>
      <c r="J20" s="3"/>
      <c r="K20" s="3"/>
      <c r="L20" s="3"/>
      <c r="M20" s="3"/>
      <c r="Q20" s="22"/>
    </row>
    <row r="21" spans="1:17" ht="15.75" customHeight="1" x14ac:dyDescent="0.25">
      <c r="A21" t="s">
        <v>740</v>
      </c>
      <c r="B21" t="s">
        <v>84</v>
      </c>
      <c r="C21" s="22">
        <v>8000000</v>
      </c>
      <c r="D21" s="22">
        <v>8000000</v>
      </c>
      <c r="E21" s="22">
        <f t="shared" si="0"/>
        <v>0</v>
      </c>
      <c r="F21" s="14"/>
      <c r="G21" s="6">
        <v>8000000</v>
      </c>
      <c r="H21" s="4"/>
      <c r="I21" s="3"/>
      <c r="J21" s="3"/>
      <c r="K21" s="3"/>
      <c r="L21" s="3"/>
      <c r="M21" s="3"/>
      <c r="Q21" s="22"/>
    </row>
    <row r="22" spans="1:17" ht="15.75" customHeight="1" x14ac:dyDescent="0.25">
      <c r="A22" t="s">
        <v>740</v>
      </c>
      <c r="B22" t="s">
        <v>54</v>
      </c>
      <c r="C22" s="22">
        <v>8000000</v>
      </c>
      <c r="D22" s="22">
        <v>8000000</v>
      </c>
      <c r="E22" s="22">
        <f t="shared" si="0"/>
        <v>0</v>
      </c>
      <c r="F22" s="14"/>
      <c r="G22" s="6">
        <v>8000000</v>
      </c>
      <c r="H22" s="4"/>
      <c r="I22" s="3"/>
      <c r="J22" s="3"/>
      <c r="K22" s="3"/>
      <c r="L22" s="3"/>
      <c r="M22" s="3"/>
      <c r="Q22" s="22"/>
    </row>
    <row r="23" spans="1:17" ht="15.75" customHeight="1" x14ac:dyDescent="0.25">
      <c r="A23" t="s">
        <v>740</v>
      </c>
      <c r="B23" t="s">
        <v>19</v>
      </c>
      <c r="C23" s="22">
        <v>8000000</v>
      </c>
      <c r="D23" s="22">
        <v>8000000</v>
      </c>
      <c r="E23" s="22">
        <f t="shared" si="0"/>
        <v>0</v>
      </c>
      <c r="F23" s="14"/>
      <c r="G23" s="6">
        <v>8000000</v>
      </c>
      <c r="H23" s="4"/>
      <c r="I23" s="3"/>
      <c r="J23" s="3"/>
      <c r="K23" s="3"/>
      <c r="L23" s="3"/>
      <c r="M23" s="3"/>
      <c r="Q23" s="22"/>
    </row>
    <row r="24" spans="1:17" ht="15.75" customHeight="1" x14ac:dyDescent="0.25">
      <c r="A24" t="s">
        <v>740</v>
      </c>
      <c r="B24" t="s">
        <v>24</v>
      </c>
      <c r="C24" s="22">
        <v>8000000</v>
      </c>
      <c r="D24" s="22">
        <v>8000000</v>
      </c>
      <c r="E24" s="22">
        <f t="shared" si="0"/>
        <v>0</v>
      </c>
      <c r="F24" s="14"/>
      <c r="G24" s="6">
        <v>8000000</v>
      </c>
      <c r="H24" s="4"/>
      <c r="I24" s="3"/>
      <c r="J24" s="3"/>
      <c r="K24" s="3"/>
      <c r="L24" s="3"/>
      <c r="M24" s="3"/>
      <c r="Q24" s="22"/>
    </row>
    <row r="25" spans="1:17" ht="15.75" customHeight="1" x14ac:dyDescent="0.25">
      <c r="A25" t="s">
        <v>740</v>
      </c>
      <c r="B25" t="s">
        <v>36</v>
      </c>
      <c r="C25" s="22">
        <v>8000000</v>
      </c>
      <c r="D25" s="22">
        <v>8000000</v>
      </c>
      <c r="E25" s="22">
        <f t="shared" si="0"/>
        <v>0</v>
      </c>
      <c r="F25" s="14"/>
      <c r="G25" s="6">
        <v>8000000</v>
      </c>
      <c r="H25" s="4"/>
      <c r="I25" s="3"/>
      <c r="J25" s="3"/>
      <c r="K25" s="3"/>
      <c r="L25" s="3"/>
      <c r="M25" s="3"/>
      <c r="Q25" s="22"/>
    </row>
    <row r="26" spans="1:17" ht="15.75" customHeight="1" x14ac:dyDescent="0.25">
      <c r="A26" t="s">
        <v>740</v>
      </c>
      <c r="B26" t="s">
        <v>56</v>
      </c>
      <c r="C26" s="22">
        <v>8000000</v>
      </c>
      <c r="D26" s="22">
        <v>8000000</v>
      </c>
      <c r="E26" s="22">
        <f t="shared" si="0"/>
        <v>0</v>
      </c>
      <c r="F26" s="14"/>
      <c r="G26" s="6">
        <v>8000000</v>
      </c>
      <c r="H26" s="4"/>
      <c r="I26" s="3"/>
      <c r="J26" s="3"/>
      <c r="K26" s="3"/>
      <c r="L26" s="3"/>
      <c r="M26" s="3"/>
      <c r="Q26" s="22"/>
    </row>
    <row r="27" spans="1:17" ht="15.75" customHeight="1" x14ac:dyDescent="0.25">
      <c r="A27" t="s">
        <v>740</v>
      </c>
      <c r="B27" t="s">
        <v>89</v>
      </c>
      <c r="C27" s="22">
        <v>8000000</v>
      </c>
      <c r="D27" s="22">
        <v>8000000</v>
      </c>
      <c r="E27" s="22">
        <f t="shared" si="0"/>
        <v>0</v>
      </c>
      <c r="F27" s="14"/>
      <c r="G27" s="6">
        <v>8000000</v>
      </c>
      <c r="H27" s="4"/>
      <c r="I27" s="3"/>
      <c r="J27" s="3"/>
      <c r="K27" s="3"/>
      <c r="L27" s="3"/>
      <c r="M27" s="3"/>
      <c r="Q27" s="22"/>
    </row>
    <row r="28" spans="1:17" ht="15.75" customHeight="1" x14ac:dyDescent="0.25">
      <c r="A28" t="s">
        <v>740</v>
      </c>
      <c r="B28" t="s">
        <v>61</v>
      </c>
      <c r="C28" s="22">
        <v>8000000</v>
      </c>
      <c r="D28" s="22">
        <v>8000000</v>
      </c>
      <c r="E28" s="22">
        <f t="shared" si="0"/>
        <v>0</v>
      </c>
      <c r="F28" s="14"/>
      <c r="G28" s="6">
        <v>8000000</v>
      </c>
      <c r="H28" s="4"/>
      <c r="I28" s="3"/>
      <c r="J28" s="3"/>
      <c r="K28" s="3"/>
      <c r="L28" s="3"/>
      <c r="M28" s="3"/>
      <c r="Q28" s="22"/>
    </row>
    <row r="29" spans="1:17" ht="15.75" customHeight="1" x14ac:dyDescent="0.25">
      <c r="A29" t="s">
        <v>740</v>
      </c>
      <c r="B29" t="s">
        <v>76</v>
      </c>
      <c r="C29" s="22">
        <v>8000000</v>
      </c>
      <c r="D29" s="22">
        <v>8000000</v>
      </c>
      <c r="E29" s="22">
        <f t="shared" si="0"/>
        <v>0</v>
      </c>
      <c r="F29" s="14"/>
      <c r="G29" s="6">
        <v>8000000</v>
      </c>
      <c r="H29" s="4"/>
      <c r="I29" s="3"/>
      <c r="J29" s="3"/>
      <c r="K29" s="3"/>
      <c r="L29" s="3"/>
      <c r="M29" s="3"/>
      <c r="Q29" s="22"/>
    </row>
    <row r="30" spans="1:17" ht="15.75" customHeight="1" x14ac:dyDescent="0.25">
      <c r="A30" t="s">
        <v>740</v>
      </c>
      <c r="B30" t="s">
        <v>220</v>
      </c>
      <c r="C30" s="22">
        <v>6000000</v>
      </c>
      <c r="D30" s="22">
        <v>8000000</v>
      </c>
      <c r="E30" s="22">
        <f t="shared" si="0"/>
        <v>-2000000</v>
      </c>
      <c r="F30" s="14"/>
      <c r="G30" s="6">
        <v>8000000</v>
      </c>
      <c r="H30" s="4"/>
      <c r="I30" s="3"/>
      <c r="J30" s="3"/>
      <c r="K30" s="3"/>
      <c r="L30" s="3"/>
      <c r="M30" s="3"/>
      <c r="Q30" s="22"/>
    </row>
    <row r="31" spans="1:17" ht="15.75" customHeight="1" x14ac:dyDescent="0.25">
      <c r="A31" t="s">
        <v>740</v>
      </c>
      <c r="B31" t="s">
        <v>34</v>
      </c>
      <c r="C31" s="22">
        <v>8000000</v>
      </c>
      <c r="D31" s="22">
        <v>8000000</v>
      </c>
      <c r="E31" s="22">
        <f t="shared" si="0"/>
        <v>0</v>
      </c>
      <c r="F31" s="14"/>
      <c r="G31" s="6">
        <v>8000000</v>
      </c>
      <c r="H31" s="4"/>
      <c r="I31" s="3"/>
      <c r="J31" s="3"/>
      <c r="K31" s="3"/>
      <c r="L31" s="3"/>
      <c r="M31" s="3"/>
      <c r="Q31" s="22"/>
    </row>
    <row r="32" spans="1:17" ht="15.75" customHeight="1" x14ac:dyDescent="0.25">
      <c r="A32" t="s">
        <v>740</v>
      </c>
      <c r="B32" t="s">
        <v>63</v>
      </c>
      <c r="C32" s="22">
        <v>8000000</v>
      </c>
      <c r="D32" s="22">
        <v>8000000</v>
      </c>
      <c r="E32" s="22">
        <f t="shared" si="0"/>
        <v>0</v>
      </c>
      <c r="F32" s="14"/>
      <c r="G32" s="6">
        <v>8000000</v>
      </c>
      <c r="H32" s="4"/>
      <c r="I32" s="3"/>
      <c r="J32" s="3"/>
      <c r="K32" s="3"/>
      <c r="L32" s="3"/>
      <c r="M32" s="3"/>
      <c r="Q32" s="22"/>
    </row>
    <row r="33" spans="1:17" ht="15.75" customHeight="1" x14ac:dyDescent="0.25">
      <c r="A33" t="s">
        <v>740</v>
      </c>
      <c r="B33" t="s">
        <v>94</v>
      </c>
      <c r="C33" s="22">
        <v>8000000</v>
      </c>
      <c r="D33" s="22">
        <v>8000000</v>
      </c>
      <c r="E33" s="22">
        <f t="shared" si="0"/>
        <v>0</v>
      </c>
      <c r="F33" s="14"/>
      <c r="G33" s="6">
        <v>8000000</v>
      </c>
      <c r="H33" s="4"/>
      <c r="I33" s="3"/>
      <c r="J33" s="3"/>
      <c r="K33" s="3"/>
      <c r="L33" s="3"/>
      <c r="M33" s="3"/>
      <c r="Q33" s="22"/>
    </row>
    <row r="34" spans="1:17" ht="15.75" customHeight="1" x14ac:dyDescent="0.25">
      <c r="A34" t="s">
        <v>740</v>
      </c>
      <c r="B34" t="s">
        <v>68</v>
      </c>
      <c r="C34" s="22">
        <v>8000000</v>
      </c>
      <c r="D34" s="22">
        <v>8000000</v>
      </c>
      <c r="E34" s="22">
        <f t="shared" si="0"/>
        <v>0</v>
      </c>
      <c r="F34" s="14"/>
      <c r="G34" s="6">
        <v>8000000</v>
      </c>
      <c r="H34" s="4"/>
      <c r="I34" s="3"/>
      <c r="J34" s="3"/>
      <c r="K34" s="3"/>
      <c r="L34" s="3"/>
      <c r="M34" s="3"/>
      <c r="Q34" s="22"/>
    </row>
    <row r="35" spans="1:17" ht="15.75" customHeight="1" x14ac:dyDescent="0.25">
      <c r="A35" t="s">
        <v>740</v>
      </c>
      <c r="B35" t="s">
        <v>88</v>
      </c>
      <c r="C35" s="22">
        <v>8000000</v>
      </c>
      <c r="D35" s="22">
        <v>8000000</v>
      </c>
      <c r="E35" s="22">
        <f t="shared" si="0"/>
        <v>0</v>
      </c>
      <c r="F35" s="14"/>
      <c r="G35" s="6">
        <v>8000000</v>
      </c>
      <c r="H35" s="4"/>
      <c r="I35" s="3"/>
      <c r="J35" s="3"/>
      <c r="K35" s="3"/>
      <c r="L35" s="3"/>
      <c r="M35" s="3"/>
      <c r="Q35" s="22"/>
    </row>
    <row r="36" spans="1:17" ht="15.75" customHeight="1" x14ac:dyDescent="0.25">
      <c r="A36" t="s">
        <v>740</v>
      </c>
      <c r="B36" t="s">
        <v>222</v>
      </c>
      <c r="C36" s="22">
        <v>6000000</v>
      </c>
      <c r="D36" s="22">
        <v>8000000</v>
      </c>
      <c r="E36" s="22">
        <f t="shared" si="0"/>
        <v>-2000000</v>
      </c>
      <c r="F36" s="14"/>
      <c r="G36" s="6">
        <v>8000000</v>
      </c>
      <c r="H36" s="4"/>
      <c r="I36" s="3"/>
      <c r="J36" s="3"/>
      <c r="K36" s="3"/>
      <c r="L36" s="3"/>
      <c r="M36" s="3"/>
      <c r="Q36" s="22"/>
    </row>
    <row r="37" spans="1:17" ht="15.75" customHeight="1" x14ac:dyDescent="0.25">
      <c r="A37" t="s">
        <v>740</v>
      </c>
      <c r="B37" t="s">
        <v>183</v>
      </c>
      <c r="C37" s="22">
        <v>14250000</v>
      </c>
      <c r="D37" s="22">
        <v>19000000</v>
      </c>
      <c r="E37" s="22">
        <f t="shared" si="0"/>
        <v>-4750000</v>
      </c>
      <c r="F37" s="14"/>
      <c r="G37" s="6">
        <v>19000000</v>
      </c>
      <c r="H37" s="4"/>
      <c r="I37" s="3"/>
      <c r="J37" s="3"/>
      <c r="K37" s="3"/>
      <c r="L37" s="3"/>
      <c r="M37" s="3"/>
      <c r="Q37" s="22"/>
    </row>
    <row r="38" spans="1:17" ht="15.75" customHeight="1" x14ac:dyDescent="0.25">
      <c r="A38" t="s">
        <v>740</v>
      </c>
      <c r="B38" t="s">
        <v>96</v>
      </c>
      <c r="C38" s="22">
        <v>8000000</v>
      </c>
      <c r="D38" s="22">
        <v>8000000</v>
      </c>
      <c r="E38" s="22">
        <f t="shared" si="0"/>
        <v>0</v>
      </c>
      <c r="F38" s="14"/>
      <c r="G38" s="6">
        <v>8000000</v>
      </c>
      <c r="H38" s="4"/>
      <c r="I38" s="3"/>
      <c r="J38" s="3"/>
      <c r="K38" s="3"/>
      <c r="L38" s="3"/>
      <c r="M38" s="3"/>
      <c r="Q38" s="22"/>
    </row>
    <row r="39" spans="1:17" ht="15.75" customHeight="1" x14ac:dyDescent="0.25">
      <c r="A39" t="s">
        <v>740</v>
      </c>
      <c r="B39" t="s">
        <v>86</v>
      </c>
      <c r="C39" s="22">
        <v>8000000</v>
      </c>
      <c r="D39" s="22">
        <v>8000000</v>
      </c>
      <c r="E39" s="22">
        <f t="shared" si="0"/>
        <v>0</v>
      </c>
      <c r="F39" s="14"/>
      <c r="G39" s="6">
        <v>8000000</v>
      </c>
      <c r="H39" s="4"/>
      <c r="I39" s="3"/>
      <c r="J39" s="3"/>
      <c r="K39" s="3"/>
      <c r="L39" s="3"/>
      <c r="M39" s="3"/>
      <c r="Q39" s="22"/>
    </row>
    <row r="40" spans="1:17" ht="15.75" customHeight="1" x14ac:dyDescent="0.25">
      <c r="A40" t="s">
        <v>740</v>
      </c>
      <c r="B40" t="s">
        <v>132</v>
      </c>
      <c r="C40" s="22">
        <v>18000000</v>
      </c>
      <c r="D40" s="22">
        <v>24000000</v>
      </c>
      <c r="E40" s="22">
        <f t="shared" si="0"/>
        <v>-6000000</v>
      </c>
      <c r="F40" s="14"/>
      <c r="G40" s="6">
        <v>24000000</v>
      </c>
      <c r="H40" s="4"/>
      <c r="I40" s="3"/>
      <c r="J40" s="3"/>
      <c r="K40" s="3"/>
      <c r="L40" s="3"/>
      <c r="M40" s="3"/>
      <c r="Q40" s="22"/>
    </row>
    <row r="41" spans="1:17" ht="15.75" customHeight="1" x14ac:dyDescent="0.25">
      <c r="A41" t="s">
        <v>740</v>
      </c>
      <c r="B41" t="s">
        <v>228</v>
      </c>
      <c r="C41" s="22">
        <v>6000000</v>
      </c>
      <c r="D41" s="22">
        <v>8000000</v>
      </c>
      <c r="E41" s="22">
        <f t="shared" si="0"/>
        <v>-2000000</v>
      </c>
      <c r="F41" s="14"/>
      <c r="G41" s="6">
        <v>8000000</v>
      </c>
      <c r="H41" s="4"/>
      <c r="I41" s="3"/>
      <c r="J41" s="3"/>
      <c r="K41" s="3"/>
      <c r="L41" s="3"/>
      <c r="M41" s="3"/>
      <c r="Q41" s="22"/>
    </row>
    <row r="42" spans="1:17" ht="15.75" customHeight="1" x14ac:dyDescent="0.25">
      <c r="A42" t="s">
        <v>740</v>
      </c>
      <c r="B42" t="s">
        <v>230</v>
      </c>
      <c r="C42" s="22">
        <v>6000000</v>
      </c>
      <c r="D42" s="22">
        <v>8000000</v>
      </c>
      <c r="E42" s="22">
        <f t="shared" si="0"/>
        <v>-2000000</v>
      </c>
      <c r="F42" s="14"/>
      <c r="G42" s="6">
        <v>8000000</v>
      </c>
      <c r="H42" s="4"/>
      <c r="I42" s="3"/>
      <c r="J42" s="3"/>
      <c r="K42" s="3"/>
      <c r="L42" s="3"/>
      <c r="M42" s="3"/>
      <c r="Q42" s="22"/>
    </row>
    <row r="43" spans="1:17" ht="15.75" customHeight="1" x14ac:dyDescent="0.25">
      <c r="A43" t="s">
        <v>740</v>
      </c>
      <c r="B43" t="s">
        <v>226</v>
      </c>
      <c r="C43" s="22">
        <v>6000000</v>
      </c>
      <c r="D43" s="22">
        <v>8000000</v>
      </c>
      <c r="E43" s="22">
        <f t="shared" si="0"/>
        <v>-2000000</v>
      </c>
      <c r="F43" s="14"/>
      <c r="G43" s="6">
        <v>8000000</v>
      </c>
      <c r="H43" s="4"/>
      <c r="I43" s="3"/>
      <c r="J43" s="3"/>
      <c r="K43" s="3"/>
      <c r="L43" s="3"/>
      <c r="M43" s="3"/>
      <c r="Q43" s="22"/>
    </row>
    <row r="44" spans="1:17" ht="15.75" customHeight="1" x14ac:dyDescent="0.25">
      <c r="A44" t="s">
        <v>740</v>
      </c>
      <c r="B44" t="s">
        <v>726</v>
      </c>
      <c r="C44" s="22">
        <v>6000000</v>
      </c>
      <c r="D44" s="22">
        <v>0</v>
      </c>
      <c r="E44" s="22">
        <v>0</v>
      </c>
      <c r="F44" s="14"/>
      <c r="G44" s="6" t="e">
        <v>#N/A</v>
      </c>
      <c r="H44" s="4"/>
      <c r="I44" s="3"/>
      <c r="J44" s="3"/>
      <c r="K44" s="3"/>
      <c r="L44" s="3"/>
      <c r="M44" s="3"/>
      <c r="Q44" s="22"/>
    </row>
    <row r="45" spans="1:17" ht="15.75" customHeight="1" x14ac:dyDescent="0.25">
      <c r="A45" t="s">
        <v>740</v>
      </c>
      <c r="B45" t="s">
        <v>224</v>
      </c>
      <c r="C45" s="22">
        <v>6000000</v>
      </c>
      <c r="D45" s="22">
        <v>8000000</v>
      </c>
      <c r="E45" s="22">
        <f t="shared" si="0"/>
        <v>-2000000</v>
      </c>
      <c r="F45" s="14"/>
      <c r="G45" s="6">
        <v>8000000</v>
      </c>
      <c r="H45" s="4"/>
      <c r="I45" s="3"/>
      <c r="J45" s="3"/>
      <c r="K45" s="3"/>
      <c r="L45" s="3"/>
      <c r="M45" s="3"/>
      <c r="Q45" s="22"/>
    </row>
    <row r="46" spans="1:17" ht="15.75" customHeight="1" x14ac:dyDescent="0.25">
      <c r="A46" t="s">
        <v>740</v>
      </c>
      <c r="B46" t="s">
        <v>232</v>
      </c>
      <c r="C46" s="22">
        <v>6000000</v>
      </c>
      <c r="D46" s="22">
        <v>8000000</v>
      </c>
      <c r="E46" s="22">
        <f t="shared" si="0"/>
        <v>-2000000</v>
      </c>
      <c r="F46" s="14"/>
      <c r="G46" s="6">
        <v>8000000</v>
      </c>
      <c r="H46" s="4"/>
      <c r="I46" s="3"/>
      <c r="J46" s="3"/>
      <c r="K46" s="3"/>
      <c r="L46" s="3"/>
      <c r="M46" s="3"/>
      <c r="Q46" s="22"/>
    </row>
    <row r="47" spans="1:17" ht="15.75" customHeight="1" x14ac:dyDescent="0.25">
      <c r="A47" t="s">
        <v>740</v>
      </c>
      <c r="B47" t="s">
        <v>130</v>
      </c>
      <c r="C47" s="22">
        <v>18000000</v>
      </c>
      <c r="D47" s="22">
        <v>24000000</v>
      </c>
      <c r="E47" s="22">
        <f t="shared" si="0"/>
        <v>-6000000</v>
      </c>
      <c r="F47" s="14"/>
      <c r="G47" s="6">
        <v>24000000</v>
      </c>
      <c r="H47" s="4"/>
      <c r="I47" s="3"/>
      <c r="J47" s="3"/>
      <c r="K47" s="3"/>
      <c r="L47" s="3"/>
      <c r="M47" s="3"/>
      <c r="Q47" s="22"/>
    </row>
    <row r="48" spans="1:17" ht="15.75" customHeight="1" x14ac:dyDescent="0.25">
      <c r="A48" t="s">
        <v>740</v>
      </c>
      <c r="B48" t="s">
        <v>104</v>
      </c>
      <c r="C48" s="22">
        <v>22500000</v>
      </c>
      <c r="D48" s="22">
        <v>30000000</v>
      </c>
      <c r="E48" s="22">
        <f t="shared" si="0"/>
        <v>-7500000</v>
      </c>
      <c r="F48" s="14"/>
      <c r="G48" s="6">
        <v>30000000</v>
      </c>
      <c r="H48" s="4"/>
      <c r="I48" s="3"/>
      <c r="J48" s="3"/>
      <c r="K48" s="3"/>
      <c r="L48" s="3"/>
      <c r="M48" s="3"/>
      <c r="Q48" s="22"/>
    </row>
    <row r="49" spans="1:17" ht="15.75" customHeight="1" x14ac:dyDescent="0.25">
      <c r="A49" t="s">
        <v>740</v>
      </c>
      <c r="B49" t="s">
        <v>106</v>
      </c>
      <c r="C49" s="22">
        <v>22500000</v>
      </c>
      <c r="D49" s="22">
        <v>30000000</v>
      </c>
      <c r="E49" s="22">
        <f t="shared" si="0"/>
        <v>-7500000</v>
      </c>
      <c r="F49" s="14"/>
      <c r="G49" s="6">
        <v>30000000</v>
      </c>
      <c r="H49" s="4"/>
      <c r="I49" s="3"/>
      <c r="J49" s="3"/>
      <c r="K49" s="3"/>
      <c r="L49" s="3"/>
      <c r="M49" s="3"/>
      <c r="Q49" s="22"/>
    </row>
    <row r="50" spans="1:17" ht="15.75" customHeight="1" x14ac:dyDescent="0.25">
      <c r="A50" t="s">
        <v>740</v>
      </c>
      <c r="B50" t="s">
        <v>187</v>
      </c>
      <c r="C50" s="22">
        <v>14250000</v>
      </c>
      <c r="D50" s="22">
        <v>19000000</v>
      </c>
      <c r="E50" s="22">
        <f t="shared" si="0"/>
        <v>-4750000</v>
      </c>
      <c r="F50" s="14"/>
      <c r="G50" s="6">
        <v>19000000</v>
      </c>
      <c r="H50" s="4"/>
      <c r="I50" s="3"/>
      <c r="J50" s="3"/>
      <c r="K50" s="3"/>
      <c r="L50" s="3"/>
      <c r="M50" s="3"/>
      <c r="Q50" s="22"/>
    </row>
    <row r="51" spans="1:17" ht="15.75" customHeight="1" x14ac:dyDescent="0.25">
      <c r="A51" t="s">
        <v>740</v>
      </c>
      <c r="B51" t="s">
        <v>151</v>
      </c>
      <c r="C51" s="22">
        <v>14476800</v>
      </c>
      <c r="D51" s="22">
        <v>19302400</v>
      </c>
      <c r="E51" s="22">
        <f t="shared" si="0"/>
        <v>-4825600</v>
      </c>
      <c r="F51" s="14"/>
      <c r="G51" s="6">
        <v>19302400</v>
      </c>
      <c r="H51" s="4"/>
      <c r="I51" s="3"/>
      <c r="J51" s="3"/>
      <c r="K51" s="3"/>
      <c r="L51" s="3"/>
      <c r="M51" s="3"/>
      <c r="Q51" s="22"/>
    </row>
    <row r="52" spans="1:17" ht="15.75" customHeight="1" x14ac:dyDescent="0.25">
      <c r="A52" t="s">
        <v>740</v>
      </c>
      <c r="B52" t="s">
        <v>108</v>
      </c>
      <c r="C52" s="22">
        <v>22500000</v>
      </c>
      <c r="D52" s="22">
        <v>30000000</v>
      </c>
      <c r="E52" s="22">
        <f t="shared" si="0"/>
        <v>-7500000</v>
      </c>
      <c r="F52" s="14"/>
      <c r="G52" s="6">
        <v>30000000</v>
      </c>
      <c r="H52" s="4"/>
      <c r="I52" s="3"/>
      <c r="J52" s="3"/>
      <c r="K52" s="3"/>
      <c r="L52" s="3"/>
      <c r="M52" s="3"/>
      <c r="Q52" s="22"/>
    </row>
    <row r="53" spans="1:17" ht="15.75" customHeight="1" x14ac:dyDescent="0.25">
      <c r="A53" t="s">
        <v>740</v>
      </c>
      <c r="B53" t="s">
        <v>190</v>
      </c>
      <c r="C53" s="22">
        <v>14250000</v>
      </c>
      <c r="D53" s="22">
        <v>19000000</v>
      </c>
      <c r="E53" s="22">
        <f t="shared" si="0"/>
        <v>-4750000</v>
      </c>
      <c r="F53" s="14"/>
      <c r="G53" s="6">
        <v>19000000</v>
      </c>
      <c r="H53" s="4"/>
      <c r="I53" s="3"/>
      <c r="J53" s="3"/>
      <c r="K53" s="3"/>
      <c r="L53" s="3"/>
      <c r="M53" s="3"/>
      <c r="Q53" s="22"/>
    </row>
    <row r="54" spans="1:17" ht="15.75" customHeight="1" x14ac:dyDescent="0.25">
      <c r="A54" t="s">
        <v>740</v>
      </c>
      <c r="B54" t="s">
        <v>158</v>
      </c>
      <c r="C54" s="22">
        <v>14476800</v>
      </c>
      <c r="D54" s="22">
        <v>19302400</v>
      </c>
      <c r="E54" s="22">
        <f t="shared" si="0"/>
        <v>-4825600</v>
      </c>
      <c r="F54" s="14"/>
      <c r="G54" s="6">
        <v>19302400</v>
      </c>
      <c r="H54" s="4"/>
      <c r="I54" s="3"/>
      <c r="J54" s="3"/>
      <c r="K54" s="3"/>
      <c r="L54" s="3"/>
      <c r="M54" s="3"/>
      <c r="Q54" s="22"/>
    </row>
    <row r="55" spans="1:17" ht="15.75" customHeight="1" x14ac:dyDescent="0.25">
      <c r="A55" t="s">
        <v>740</v>
      </c>
      <c r="B55" t="s">
        <v>135</v>
      </c>
      <c r="C55" s="22">
        <v>18000000</v>
      </c>
      <c r="D55" s="22">
        <v>24000000</v>
      </c>
      <c r="E55" s="22">
        <f t="shared" si="0"/>
        <v>-6000000</v>
      </c>
      <c r="F55" s="14"/>
      <c r="G55" s="6">
        <v>24000000</v>
      </c>
      <c r="H55" s="4"/>
      <c r="I55" s="3"/>
      <c r="J55" s="3"/>
      <c r="K55" s="3"/>
      <c r="L55" s="3"/>
      <c r="M55" s="3"/>
      <c r="Q55" s="22"/>
    </row>
    <row r="56" spans="1:17" ht="15.75" customHeight="1" x14ac:dyDescent="0.25">
      <c r="A56" t="s">
        <v>740</v>
      </c>
      <c r="B56" t="s">
        <v>167</v>
      </c>
      <c r="C56" s="22">
        <v>22500000</v>
      </c>
      <c r="D56" s="22">
        <v>22500000</v>
      </c>
      <c r="E56" s="22">
        <f t="shared" si="0"/>
        <v>0</v>
      </c>
      <c r="F56" s="14"/>
      <c r="G56" s="6">
        <v>22500000</v>
      </c>
      <c r="H56" s="4"/>
      <c r="I56" s="3"/>
      <c r="J56" s="3"/>
      <c r="K56" s="3"/>
      <c r="L56" s="3"/>
      <c r="M56" s="3"/>
      <c r="Q56" s="22"/>
    </row>
    <row r="57" spans="1:17" ht="15.75" customHeight="1" x14ac:dyDescent="0.25">
      <c r="A57" t="s">
        <v>740</v>
      </c>
      <c r="B57" t="s">
        <v>160</v>
      </c>
      <c r="C57" s="22">
        <v>14476800</v>
      </c>
      <c r="D57" s="22">
        <v>19302400</v>
      </c>
      <c r="E57" s="22">
        <f t="shared" si="0"/>
        <v>-4825600</v>
      </c>
      <c r="F57" s="14"/>
      <c r="G57" s="6">
        <v>19302400</v>
      </c>
      <c r="H57" s="4"/>
      <c r="I57" s="3"/>
      <c r="J57" s="3"/>
      <c r="K57" s="3"/>
      <c r="L57" s="3"/>
      <c r="M57" s="3"/>
      <c r="Q57" s="22"/>
    </row>
    <row r="58" spans="1:17" ht="15.75" customHeight="1" x14ac:dyDescent="0.25">
      <c r="A58" t="s">
        <v>740</v>
      </c>
      <c r="B58" t="s">
        <v>234</v>
      </c>
      <c r="C58" s="22">
        <v>6000000</v>
      </c>
      <c r="D58" s="22">
        <v>8000000</v>
      </c>
      <c r="E58" s="22">
        <f t="shared" si="0"/>
        <v>-2000000</v>
      </c>
      <c r="F58" s="14"/>
      <c r="G58" s="6">
        <v>8000000</v>
      </c>
      <c r="H58" s="4"/>
      <c r="I58" s="3"/>
      <c r="J58" s="3"/>
      <c r="K58" s="3"/>
      <c r="L58" s="3"/>
      <c r="M58" s="3"/>
      <c r="Q58" s="22"/>
    </row>
    <row r="59" spans="1:17" ht="15.75" customHeight="1" x14ac:dyDescent="0.25">
      <c r="A59" t="s">
        <v>740</v>
      </c>
      <c r="B59" t="s">
        <v>236</v>
      </c>
      <c r="C59" s="22">
        <v>6000000</v>
      </c>
      <c r="D59" s="22">
        <v>8000000</v>
      </c>
      <c r="E59" s="22">
        <f t="shared" si="0"/>
        <v>-2000000</v>
      </c>
      <c r="F59" s="14"/>
      <c r="G59" s="6">
        <v>8000000</v>
      </c>
      <c r="H59" s="4"/>
      <c r="I59" s="3"/>
      <c r="J59" s="3"/>
      <c r="K59" s="3"/>
      <c r="L59" s="3"/>
      <c r="M59" s="3"/>
      <c r="Q59" s="22"/>
    </row>
    <row r="60" spans="1:17" ht="15.75" customHeight="1" x14ac:dyDescent="0.25">
      <c r="A60" t="s">
        <v>740</v>
      </c>
      <c r="B60" t="s">
        <v>137</v>
      </c>
      <c r="C60" s="22">
        <v>18000000</v>
      </c>
      <c r="D60" s="22">
        <v>24000000</v>
      </c>
      <c r="E60" s="22">
        <f t="shared" si="0"/>
        <v>-6000000</v>
      </c>
      <c r="F60" s="14"/>
      <c r="G60" s="6">
        <v>24000000</v>
      </c>
      <c r="H60" s="4"/>
      <c r="I60" s="3"/>
      <c r="J60" s="3"/>
      <c r="K60" s="3"/>
      <c r="L60" s="3"/>
      <c r="M60" s="3"/>
      <c r="Q60" s="22"/>
    </row>
    <row r="61" spans="1:17" ht="15.75" customHeight="1" x14ac:dyDescent="0.25">
      <c r="A61" t="s">
        <v>740</v>
      </c>
      <c r="B61" t="s">
        <v>110</v>
      </c>
      <c r="C61" s="22">
        <v>22500000</v>
      </c>
      <c r="D61" s="22">
        <v>30000000</v>
      </c>
      <c r="E61" s="22">
        <f t="shared" si="0"/>
        <v>-7500000</v>
      </c>
      <c r="F61" s="14"/>
      <c r="G61" s="6">
        <v>30000000</v>
      </c>
      <c r="H61" s="4"/>
      <c r="I61" s="3"/>
      <c r="J61" s="3"/>
      <c r="K61" s="3"/>
      <c r="L61" s="3"/>
      <c r="M61" s="3"/>
      <c r="Q61" s="22"/>
    </row>
    <row r="62" spans="1:17" ht="15.75" customHeight="1" x14ac:dyDescent="0.25">
      <c r="A62" t="s">
        <v>740</v>
      </c>
      <c r="B62" t="s">
        <v>192</v>
      </c>
      <c r="C62" s="22">
        <v>14250000</v>
      </c>
      <c r="D62" s="22">
        <v>19000000</v>
      </c>
      <c r="E62" s="22">
        <f t="shared" si="0"/>
        <v>-4750000</v>
      </c>
      <c r="F62" s="14"/>
      <c r="G62" s="6">
        <v>19000000</v>
      </c>
      <c r="H62" s="4"/>
      <c r="I62" s="3"/>
      <c r="J62" s="3"/>
      <c r="K62" s="3"/>
      <c r="L62" s="3"/>
      <c r="M62" s="3"/>
      <c r="Q62" s="22"/>
    </row>
    <row r="63" spans="1:17" ht="15.75" customHeight="1" x14ac:dyDescent="0.25">
      <c r="A63" t="s">
        <v>740</v>
      </c>
      <c r="B63" t="s">
        <v>195</v>
      </c>
      <c r="C63" s="22">
        <v>14250000</v>
      </c>
      <c r="D63" s="22">
        <v>19000000</v>
      </c>
      <c r="E63" s="22">
        <f t="shared" si="0"/>
        <v>-4750000</v>
      </c>
      <c r="F63" s="14"/>
      <c r="G63" s="6">
        <v>19000000</v>
      </c>
      <c r="H63" s="4"/>
      <c r="I63" s="3"/>
      <c r="J63" s="3"/>
      <c r="K63" s="3"/>
      <c r="L63" s="3"/>
      <c r="M63" s="3"/>
      <c r="Q63" s="22"/>
    </row>
    <row r="64" spans="1:17" ht="15.75" customHeight="1" x14ac:dyDescent="0.25">
      <c r="A64" t="s">
        <v>740</v>
      </c>
      <c r="B64" t="s">
        <v>162</v>
      </c>
      <c r="C64" s="22">
        <v>14476800</v>
      </c>
      <c r="D64" s="22">
        <v>19302400</v>
      </c>
      <c r="E64" s="22">
        <f t="shared" si="0"/>
        <v>-4825600</v>
      </c>
      <c r="F64" s="14"/>
      <c r="G64" s="6">
        <v>19302400</v>
      </c>
      <c r="H64" s="4"/>
      <c r="I64" s="3"/>
      <c r="J64" s="3"/>
      <c r="K64" s="3"/>
      <c r="L64" s="3"/>
      <c r="M64" s="3"/>
      <c r="Q64" s="22"/>
    </row>
    <row r="65" spans="1:17" ht="15.75" customHeight="1" x14ac:dyDescent="0.25">
      <c r="A65" t="s">
        <v>740</v>
      </c>
      <c r="B65" t="s">
        <v>113</v>
      </c>
      <c r="C65" s="22">
        <v>22500000</v>
      </c>
      <c r="D65" s="22">
        <v>30000000</v>
      </c>
      <c r="E65" s="22">
        <f t="shared" si="0"/>
        <v>-7500000</v>
      </c>
      <c r="F65" s="14"/>
      <c r="G65" s="6">
        <v>30000000</v>
      </c>
      <c r="H65" s="4"/>
      <c r="I65" s="3"/>
      <c r="J65" s="3"/>
      <c r="K65" s="3"/>
      <c r="L65" s="3"/>
      <c r="M65" s="3"/>
      <c r="Q65" s="22"/>
    </row>
    <row r="66" spans="1:17" ht="15.75" customHeight="1" x14ac:dyDescent="0.25">
      <c r="A66" t="s">
        <v>740</v>
      </c>
      <c r="B66" t="s">
        <v>238</v>
      </c>
      <c r="C66" s="22">
        <v>6000000</v>
      </c>
      <c r="D66" s="22">
        <v>8000000</v>
      </c>
      <c r="E66" s="22">
        <f t="shared" si="0"/>
        <v>-2000000</v>
      </c>
      <c r="F66" s="14"/>
      <c r="G66" s="6">
        <v>8000000</v>
      </c>
      <c r="H66" s="4"/>
      <c r="I66" s="3"/>
      <c r="J66" s="3"/>
      <c r="K66" s="3"/>
      <c r="L66" s="3"/>
      <c r="M66" s="3"/>
      <c r="Q66" s="22"/>
    </row>
    <row r="67" spans="1:17" ht="15.75" customHeight="1" x14ac:dyDescent="0.25">
      <c r="A67" t="s">
        <v>740</v>
      </c>
      <c r="B67" t="s">
        <v>164</v>
      </c>
      <c r="C67" s="22">
        <v>14476800</v>
      </c>
      <c r="D67" s="22">
        <v>19302400</v>
      </c>
      <c r="E67" s="22">
        <f t="shared" ref="E67:E130" si="1">C67-D67</f>
        <v>-4825600</v>
      </c>
      <c r="F67" s="14"/>
      <c r="G67" s="6">
        <v>19302400</v>
      </c>
      <c r="H67" s="4"/>
      <c r="I67" s="3"/>
      <c r="J67" s="14"/>
      <c r="K67" s="3"/>
      <c r="L67" s="3"/>
      <c r="M67" s="3"/>
      <c r="O67" s="3"/>
      <c r="Q67" s="22"/>
    </row>
    <row r="68" spans="1:17" ht="15.75" customHeight="1" x14ac:dyDescent="0.25">
      <c r="A68" t="s">
        <v>740</v>
      </c>
      <c r="B68" t="s">
        <v>240</v>
      </c>
      <c r="C68" s="22">
        <v>6000000</v>
      </c>
      <c r="D68" s="22">
        <v>8000000</v>
      </c>
      <c r="E68" s="22">
        <f t="shared" si="1"/>
        <v>-2000000</v>
      </c>
      <c r="F68" s="14"/>
      <c r="G68" s="6">
        <v>8000000</v>
      </c>
      <c r="H68" s="4"/>
      <c r="I68" s="3"/>
      <c r="J68" s="3"/>
      <c r="K68" s="3"/>
      <c r="L68" s="3"/>
      <c r="M68" s="3"/>
      <c r="Q68" s="22"/>
    </row>
    <row r="69" spans="1:17" ht="15.75" customHeight="1" x14ac:dyDescent="0.25">
      <c r="A69" t="s">
        <v>740</v>
      </c>
      <c r="B69" t="s">
        <v>243</v>
      </c>
      <c r="C69" s="22">
        <v>6000000</v>
      </c>
      <c r="D69" s="22">
        <v>8000000</v>
      </c>
      <c r="E69" s="22">
        <f t="shared" si="1"/>
        <v>-2000000</v>
      </c>
      <c r="F69" s="14"/>
      <c r="G69" s="6">
        <v>8000000</v>
      </c>
      <c r="H69" s="4"/>
      <c r="I69" s="3"/>
      <c r="J69" s="3"/>
      <c r="K69" s="3"/>
      <c r="L69" s="3"/>
      <c r="M69" s="3"/>
      <c r="Q69" s="22"/>
    </row>
    <row r="70" spans="1:17" ht="15.75" customHeight="1" x14ac:dyDescent="0.25">
      <c r="A70" t="s">
        <v>740</v>
      </c>
      <c r="B70" t="s">
        <v>155</v>
      </c>
      <c r="C70" s="22">
        <v>14476800</v>
      </c>
      <c r="D70" s="22">
        <v>19302400</v>
      </c>
      <c r="E70" s="22">
        <f t="shared" si="1"/>
        <v>-4825600</v>
      </c>
      <c r="F70" s="14"/>
      <c r="G70" s="6">
        <v>19302400</v>
      </c>
      <c r="H70" s="4"/>
      <c r="I70" s="3"/>
      <c r="J70" s="3"/>
      <c r="K70" s="3"/>
      <c r="L70" s="3"/>
      <c r="M70" s="3"/>
      <c r="Q70" s="22"/>
    </row>
    <row r="71" spans="1:17" ht="15.75" customHeight="1" x14ac:dyDescent="0.25">
      <c r="A71" t="s">
        <v>740</v>
      </c>
      <c r="B71" t="s">
        <v>139</v>
      </c>
      <c r="C71" s="22">
        <v>18000000</v>
      </c>
      <c r="D71" s="22">
        <v>24000000</v>
      </c>
      <c r="E71" s="22">
        <f t="shared" si="1"/>
        <v>-6000000</v>
      </c>
      <c r="F71" s="14"/>
      <c r="G71" s="6">
        <v>24000000</v>
      </c>
      <c r="H71" s="4"/>
      <c r="I71" s="3"/>
      <c r="J71" s="3"/>
      <c r="K71" s="3"/>
      <c r="L71" s="3"/>
      <c r="M71" s="3"/>
      <c r="Q71" s="22"/>
    </row>
    <row r="72" spans="1:17" ht="15.75" customHeight="1" x14ac:dyDescent="0.25">
      <c r="A72" t="s">
        <v>740</v>
      </c>
      <c r="B72" t="s">
        <v>169</v>
      </c>
      <c r="C72" s="22">
        <v>14476800</v>
      </c>
      <c r="D72" s="22">
        <v>19302400</v>
      </c>
      <c r="E72" s="22">
        <f t="shared" si="1"/>
        <v>-4825600</v>
      </c>
      <c r="F72" s="14"/>
      <c r="G72" s="6">
        <v>19302400</v>
      </c>
      <c r="H72" s="4"/>
      <c r="I72" s="3"/>
      <c r="J72" s="3"/>
      <c r="K72" s="3"/>
      <c r="L72" s="3"/>
      <c r="M72" s="3"/>
      <c r="Q72" s="22"/>
    </row>
    <row r="73" spans="1:17" ht="15.75" customHeight="1" x14ac:dyDescent="0.25">
      <c r="A73" t="s">
        <v>740</v>
      </c>
      <c r="B73" t="s">
        <v>197</v>
      </c>
      <c r="C73" s="22">
        <v>14250000</v>
      </c>
      <c r="D73" s="22">
        <v>19000000</v>
      </c>
      <c r="E73" s="22">
        <f t="shared" si="1"/>
        <v>-4750000</v>
      </c>
      <c r="F73" s="14"/>
      <c r="G73" s="6">
        <v>19000000</v>
      </c>
      <c r="H73" s="4"/>
      <c r="I73" s="3"/>
      <c r="J73" s="3"/>
      <c r="K73" s="3"/>
      <c r="L73" s="3"/>
      <c r="M73" s="3"/>
      <c r="Q73" s="22"/>
    </row>
    <row r="74" spans="1:17" ht="15.75" customHeight="1" x14ac:dyDescent="0.25">
      <c r="A74" t="s">
        <v>740</v>
      </c>
      <c r="B74" t="s">
        <v>203</v>
      </c>
      <c r="C74" s="22">
        <v>14250000</v>
      </c>
      <c r="D74" s="22">
        <v>19000000</v>
      </c>
      <c r="E74" s="22">
        <f t="shared" si="1"/>
        <v>-4750000</v>
      </c>
      <c r="F74" s="14"/>
      <c r="G74" s="6">
        <v>19000000</v>
      </c>
      <c r="H74" s="4"/>
      <c r="I74" s="3"/>
      <c r="J74" s="3"/>
      <c r="K74" s="3"/>
      <c r="L74" s="3"/>
      <c r="M74" s="3"/>
      <c r="Q74" s="22"/>
    </row>
    <row r="75" spans="1:17" ht="15.75" customHeight="1" x14ac:dyDescent="0.25">
      <c r="A75" t="s">
        <v>740</v>
      </c>
      <c r="B75" t="s">
        <v>115</v>
      </c>
      <c r="C75" s="22">
        <v>22500000</v>
      </c>
      <c r="D75" s="22">
        <v>30000000</v>
      </c>
      <c r="E75" s="22">
        <f t="shared" si="1"/>
        <v>-7500000</v>
      </c>
      <c r="F75" s="14"/>
      <c r="G75" s="6">
        <v>30000000</v>
      </c>
      <c r="H75" s="4"/>
      <c r="I75" s="3"/>
      <c r="J75" s="3"/>
      <c r="K75" s="3"/>
      <c r="L75" s="3"/>
      <c r="M75" s="3"/>
      <c r="Q75" s="22"/>
    </row>
    <row r="76" spans="1:17" ht="15.75" customHeight="1" x14ac:dyDescent="0.25">
      <c r="A76" t="s">
        <v>740</v>
      </c>
      <c r="B76" t="s">
        <v>258</v>
      </c>
      <c r="C76" s="22">
        <v>6000000</v>
      </c>
      <c r="D76" s="22">
        <v>8000000</v>
      </c>
      <c r="E76" s="22">
        <f t="shared" si="1"/>
        <v>-2000000</v>
      </c>
      <c r="F76" s="14"/>
      <c r="G76" s="6">
        <v>8000000</v>
      </c>
      <c r="H76" s="4"/>
      <c r="I76" s="3"/>
      <c r="J76" s="3"/>
      <c r="K76" s="3"/>
      <c r="L76" s="3"/>
      <c r="M76" s="3"/>
      <c r="Q76" s="22"/>
    </row>
    <row r="77" spans="1:17" ht="15.75" customHeight="1" x14ac:dyDescent="0.25">
      <c r="A77" t="s">
        <v>740</v>
      </c>
      <c r="B77" t="s">
        <v>200</v>
      </c>
      <c r="C77" s="22">
        <v>14250000</v>
      </c>
      <c r="D77" s="22">
        <v>19000000</v>
      </c>
      <c r="E77" s="22">
        <f t="shared" si="1"/>
        <v>-4750000</v>
      </c>
      <c r="F77" s="14"/>
      <c r="G77" s="6">
        <v>19000000</v>
      </c>
      <c r="H77" s="4"/>
      <c r="I77" s="3"/>
      <c r="J77" s="3"/>
      <c r="K77" s="3"/>
      <c r="L77" s="3"/>
      <c r="M77" s="3"/>
      <c r="Q77" s="22"/>
    </row>
    <row r="78" spans="1:17" ht="15.75" customHeight="1" x14ac:dyDescent="0.25">
      <c r="A78" t="s">
        <v>740</v>
      </c>
      <c r="B78" t="s">
        <v>249</v>
      </c>
      <c r="C78" s="22">
        <v>6000000</v>
      </c>
      <c r="D78" s="22">
        <v>8000000</v>
      </c>
      <c r="E78" s="22">
        <f t="shared" si="1"/>
        <v>-2000000</v>
      </c>
      <c r="F78" s="14"/>
      <c r="G78" s="6">
        <v>8000000</v>
      </c>
      <c r="H78" s="4"/>
      <c r="I78" s="3"/>
      <c r="J78" s="3"/>
      <c r="K78" s="3"/>
      <c r="L78" s="3"/>
      <c r="M78" s="3"/>
      <c r="Q78" s="22"/>
    </row>
    <row r="79" spans="1:17" ht="15.75" customHeight="1" x14ac:dyDescent="0.25">
      <c r="A79" t="s">
        <v>740</v>
      </c>
      <c r="B79" t="s">
        <v>251</v>
      </c>
      <c r="C79" s="22">
        <v>6000000</v>
      </c>
      <c r="D79" s="22">
        <v>8000000</v>
      </c>
      <c r="E79" s="22">
        <f t="shared" si="1"/>
        <v>-2000000</v>
      </c>
      <c r="F79" s="14"/>
      <c r="G79" s="6">
        <v>8000000</v>
      </c>
      <c r="H79" s="4"/>
      <c r="I79" s="3"/>
      <c r="J79" s="3"/>
      <c r="K79" s="3"/>
      <c r="L79" s="3"/>
      <c r="M79" s="3"/>
      <c r="Q79" s="22"/>
    </row>
    <row r="80" spans="1:17" ht="15.75" customHeight="1" x14ac:dyDescent="0.25">
      <c r="A80" t="s">
        <v>740</v>
      </c>
      <c r="B80" t="s">
        <v>142</v>
      </c>
      <c r="C80" s="22">
        <v>6000000</v>
      </c>
      <c r="D80" s="22">
        <v>12000000</v>
      </c>
      <c r="E80" s="22">
        <f t="shared" si="1"/>
        <v>-6000000</v>
      </c>
      <c r="F80" s="14"/>
      <c r="G80" s="6">
        <v>12000000</v>
      </c>
      <c r="H80" s="4"/>
      <c r="I80" s="3"/>
      <c r="J80" s="3"/>
      <c r="K80" s="3"/>
      <c r="L80" s="3"/>
      <c r="M80" s="3"/>
      <c r="Q80" s="22"/>
    </row>
    <row r="81" spans="1:17" ht="15.75" customHeight="1" x14ac:dyDescent="0.25">
      <c r="A81" t="s">
        <v>740</v>
      </c>
      <c r="B81" t="s">
        <v>176</v>
      </c>
      <c r="C81" s="22">
        <v>14476800</v>
      </c>
      <c r="D81" s="22">
        <v>19302400</v>
      </c>
      <c r="E81" s="22">
        <f t="shared" si="1"/>
        <v>-4825600</v>
      </c>
      <c r="F81" s="14"/>
      <c r="G81" s="6">
        <v>19302400</v>
      </c>
      <c r="H81" s="4"/>
      <c r="I81" s="3"/>
      <c r="J81" s="3"/>
      <c r="K81" s="3"/>
      <c r="L81" s="3"/>
      <c r="M81" s="3"/>
      <c r="Q81" s="22"/>
    </row>
    <row r="82" spans="1:17" ht="15.75" customHeight="1" x14ac:dyDescent="0.25">
      <c r="A82" t="s">
        <v>740</v>
      </c>
      <c r="B82" t="s">
        <v>245</v>
      </c>
      <c r="C82" s="22">
        <v>6000000</v>
      </c>
      <c r="D82" s="22">
        <v>8000000</v>
      </c>
      <c r="E82" s="22">
        <f t="shared" si="1"/>
        <v>-2000000</v>
      </c>
      <c r="F82" s="14"/>
      <c r="G82" s="6">
        <v>8000000</v>
      </c>
      <c r="H82" s="4"/>
      <c r="I82" s="3"/>
      <c r="J82" s="3"/>
      <c r="K82" s="3"/>
      <c r="L82" s="3"/>
      <c r="M82" s="3"/>
      <c r="Q82" s="22"/>
    </row>
    <row r="83" spans="1:17" ht="15.75" customHeight="1" x14ac:dyDescent="0.25">
      <c r="A83" t="s">
        <v>740</v>
      </c>
      <c r="B83" t="s">
        <v>171</v>
      </c>
      <c r="C83" s="22">
        <v>14476800</v>
      </c>
      <c r="D83" s="22">
        <v>19302400</v>
      </c>
      <c r="E83" s="22">
        <f t="shared" si="1"/>
        <v>-4825600</v>
      </c>
      <c r="F83" s="14"/>
      <c r="G83" s="6">
        <v>19302400</v>
      </c>
      <c r="H83" s="4"/>
      <c r="I83" s="3"/>
      <c r="J83" s="3"/>
      <c r="K83" s="3"/>
      <c r="L83" s="3"/>
      <c r="M83" s="3"/>
      <c r="Q83" s="22"/>
    </row>
    <row r="84" spans="1:17" ht="15.75" customHeight="1" x14ac:dyDescent="0.25">
      <c r="A84" t="s">
        <v>740</v>
      </c>
      <c r="B84" t="s">
        <v>263</v>
      </c>
      <c r="C84" s="22">
        <v>6000000</v>
      </c>
      <c r="D84" s="22">
        <v>8000000</v>
      </c>
      <c r="E84" s="22">
        <f t="shared" si="1"/>
        <v>-2000000</v>
      </c>
      <c r="F84" s="14"/>
      <c r="G84" s="6">
        <v>8000000</v>
      </c>
      <c r="H84" s="4"/>
      <c r="I84" s="3"/>
      <c r="J84" s="3"/>
      <c r="K84" s="3"/>
      <c r="L84" s="3"/>
      <c r="M84" s="3"/>
      <c r="Q84" s="22"/>
    </row>
    <row r="85" spans="1:17" ht="15.75" customHeight="1" x14ac:dyDescent="0.25">
      <c r="A85" t="s">
        <v>740</v>
      </c>
      <c r="B85" t="s">
        <v>174</v>
      </c>
      <c r="C85" s="22">
        <v>14476800</v>
      </c>
      <c r="D85" s="22">
        <v>19302400</v>
      </c>
      <c r="E85" s="22">
        <f t="shared" si="1"/>
        <v>-4825600</v>
      </c>
      <c r="F85" s="14"/>
      <c r="G85" s="6">
        <v>19302400</v>
      </c>
      <c r="H85" s="4"/>
      <c r="I85" s="3"/>
      <c r="J85" s="3"/>
      <c r="K85" s="3"/>
      <c r="L85" s="3"/>
      <c r="M85" s="3"/>
      <c r="Q85" s="22"/>
    </row>
    <row r="86" spans="1:17" ht="15.75" customHeight="1" x14ac:dyDescent="0.25">
      <c r="A86" t="s">
        <v>740</v>
      </c>
      <c r="B86" t="s">
        <v>254</v>
      </c>
      <c r="C86" s="22">
        <v>6000000</v>
      </c>
      <c r="D86" s="22">
        <v>8000000</v>
      </c>
      <c r="E86" s="22">
        <f t="shared" si="1"/>
        <v>-2000000</v>
      </c>
      <c r="F86" s="14"/>
      <c r="G86" s="6">
        <v>8000000</v>
      </c>
      <c r="H86" s="4"/>
      <c r="I86" s="3"/>
      <c r="J86" s="3"/>
      <c r="K86" s="3"/>
      <c r="L86" s="3"/>
      <c r="M86" s="3"/>
      <c r="Q86" s="22"/>
    </row>
    <row r="87" spans="1:17" ht="15.75" customHeight="1" x14ac:dyDescent="0.25">
      <c r="A87" t="s">
        <v>740</v>
      </c>
      <c r="B87" t="s">
        <v>256</v>
      </c>
      <c r="C87" s="22">
        <v>6000000</v>
      </c>
      <c r="D87" s="22">
        <v>8000000</v>
      </c>
      <c r="E87" s="22">
        <f t="shared" si="1"/>
        <v>-2000000</v>
      </c>
      <c r="F87" s="14"/>
      <c r="G87" s="6">
        <v>8000000</v>
      </c>
      <c r="H87" s="4"/>
      <c r="I87" s="3"/>
      <c r="J87" s="3"/>
      <c r="K87" s="3"/>
      <c r="L87" s="3"/>
      <c r="M87" s="3"/>
      <c r="Q87" s="22"/>
    </row>
    <row r="88" spans="1:17" ht="15.75" customHeight="1" x14ac:dyDescent="0.25">
      <c r="A88" t="s">
        <v>740</v>
      </c>
      <c r="B88" t="s">
        <v>261</v>
      </c>
      <c r="C88" s="22">
        <v>6000000</v>
      </c>
      <c r="D88" s="22">
        <v>8000000</v>
      </c>
      <c r="E88" s="22">
        <f t="shared" si="1"/>
        <v>-2000000</v>
      </c>
      <c r="F88" s="14"/>
      <c r="G88" s="6">
        <v>8000000</v>
      </c>
      <c r="H88" s="4"/>
      <c r="I88" s="3"/>
      <c r="J88" s="3"/>
      <c r="K88" s="3"/>
      <c r="L88" s="3"/>
      <c r="M88" s="3"/>
      <c r="Q88" s="22"/>
    </row>
    <row r="89" spans="1:17" ht="15.75" customHeight="1" x14ac:dyDescent="0.25">
      <c r="A89" t="s">
        <v>740</v>
      </c>
      <c r="B89" t="s">
        <v>218</v>
      </c>
      <c r="C89" s="22">
        <v>6000000</v>
      </c>
      <c r="D89" s="22">
        <v>9000000</v>
      </c>
      <c r="E89" s="22">
        <f t="shared" si="1"/>
        <v>-3000000</v>
      </c>
      <c r="F89" s="14"/>
      <c r="G89" s="6">
        <v>9000000</v>
      </c>
      <c r="H89" s="4"/>
      <c r="I89" s="3"/>
      <c r="J89" s="3"/>
      <c r="K89" s="3"/>
      <c r="L89" s="3"/>
      <c r="M89" s="3"/>
      <c r="Q89" s="22"/>
    </row>
    <row r="90" spans="1:17" ht="15.75" customHeight="1" x14ac:dyDescent="0.25">
      <c r="A90" t="s">
        <v>740</v>
      </c>
      <c r="B90" t="s">
        <v>269</v>
      </c>
      <c r="C90" s="22">
        <v>6000000</v>
      </c>
      <c r="D90" s="22">
        <v>8000000</v>
      </c>
      <c r="E90" s="22">
        <f t="shared" si="1"/>
        <v>-2000000</v>
      </c>
      <c r="F90" s="14"/>
      <c r="G90" s="6">
        <v>8000000</v>
      </c>
      <c r="H90" s="4"/>
      <c r="I90" s="3"/>
      <c r="J90" s="3"/>
      <c r="K90" s="3"/>
      <c r="L90" s="3"/>
      <c r="M90" s="3"/>
      <c r="Q90" s="22"/>
    </row>
    <row r="91" spans="1:17" ht="15.75" customHeight="1" x14ac:dyDescent="0.25">
      <c r="A91" t="s">
        <v>740</v>
      </c>
      <c r="B91" t="s">
        <v>271</v>
      </c>
      <c r="C91" s="22">
        <v>6000000</v>
      </c>
      <c r="D91" s="22">
        <v>8000000</v>
      </c>
      <c r="E91" s="22">
        <f t="shared" si="1"/>
        <v>-2000000</v>
      </c>
      <c r="F91" s="14"/>
      <c r="G91" s="6">
        <v>8000000</v>
      </c>
      <c r="H91" s="4"/>
      <c r="Q91" s="22"/>
    </row>
    <row r="92" spans="1:17" ht="15.75" customHeight="1" x14ac:dyDescent="0.25">
      <c r="A92" t="s">
        <v>740</v>
      </c>
      <c r="B92" t="s">
        <v>205</v>
      </c>
      <c r="C92" s="22">
        <v>14250000</v>
      </c>
      <c r="D92" s="22">
        <v>19000000</v>
      </c>
      <c r="E92" s="22">
        <f t="shared" si="1"/>
        <v>-4750000</v>
      </c>
      <c r="F92" s="14"/>
      <c r="G92" s="6">
        <v>19000000</v>
      </c>
      <c r="H92" s="4"/>
      <c r="Q92" s="22"/>
    </row>
    <row r="93" spans="1:17" ht="15.75" customHeight="1" x14ac:dyDescent="0.25">
      <c r="A93" t="s">
        <v>740</v>
      </c>
      <c r="B93" t="s">
        <v>273</v>
      </c>
      <c r="C93" s="22">
        <v>6000000</v>
      </c>
      <c r="D93" s="22">
        <v>8000000</v>
      </c>
      <c r="E93" s="22">
        <f t="shared" si="1"/>
        <v>-2000000</v>
      </c>
      <c r="F93" s="14"/>
      <c r="G93" s="6">
        <v>8000000</v>
      </c>
      <c r="H93" s="4"/>
      <c r="Q93" s="22"/>
    </row>
    <row r="94" spans="1:17" ht="15.75" customHeight="1" x14ac:dyDescent="0.25">
      <c r="A94" t="s">
        <v>740</v>
      </c>
      <c r="B94" t="s">
        <v>277</v>
      </c>
      <c r="C94" s="22">
        <v>6000000</v>
      </c>
      <c r="D94" s="22">
        <v>8000000</v>
      </c>
      <c r="E94" s="22">
        <f t="shared" si="1"/>
        <v>-2000000</v>
      </c>
      <c r="F94" s="14"/>
      <c r="G94" s="6">
        <v>8000000</v>
      </c>
      <c r="H94" s="4"/>
      <c r="Q94" s="22"/>
    </row>
    <row r="95" spans="1:17" ht="15.75" customHeight="1" x14ac:dyDescent="0.25">
      <c r="A95" t="s">
        <v>740</v>
      </c>
      <c r="B95" t="s">
        <v>279</v>
      </c>
      <c r="C95" s="22">
        <v>6000000</v>
      </c>
      <c r="D95" s="22">
        <v>8000000</v>
      </c>
      <c r="E95" s="22">
        <f t="shared" si="1"/>
        <v>-2000000</v>
      </c>
      <c r="F95" s="14"/>
      <c r="G95" s="6">
        <v>8000000</v>
      </c>
      <c r="H95" s="4"/>
      <c r="Q95" s="22"/>
    </row>
    <row r="96" spans="1:17" ht="15.75" customHeight="1" x14ac:dyDescent="0.25">
      <c r="A96" t="s">
        <v>740</v>
      </c>
      <c r="B96" t="s">
        <v>178</v>
      </c>
      <c r="C96" s="22">
        <v>14476800</v>
      </c>
      <c r="D96" s="22">
        <v>19302400</v>
      </c>
      <c r="E96" s="22">
        <f t="shared" si="1"/>
        <v>-4825600</v>
      </c>
      <c r="F96" s="14"/>
      <c r="G96" s="6">
        <v>19302400</v>
      </c>
      <c r="H96" s="4"/>
      <c r="Q96" s="22"/>
    </row>
    <row r="97" spans="1:17" ht="15.75" customHeight="1" x14ac:dyDescent="0.25">
      <c r="A97" t="s">
        <v>740</v>
      </c>
      <c r="B97" t="s">
        <v>275</v>
      </c>
      <c r="C97" s="22">
        <v>6000000</v>
      </c>
      <c r="D97" s="22">
        <v>8000000</v>
      </c>
      <c r="E97" s="22">
        <f t="shared" si="1"/>
        <v>-2000000</v>
      </c>
      <c r="F97" s="14"/>
      <c r="G97" s="6">
        <v>8000000</v>
      </c>
      <c r="H97" s="4"/>
      <c r="Q97" s="22"/>
    </row>
    <row r="98" spans="1:17" ht="15.75" customHeight="1" x14ac:dyDescent="0.25">
      <c r="A98" t="s">
        <v>740</v>
      </c>
      <c r="B98" t="s">
        <v>281</v>
      </c>
      <c r="C98" s="22">
        <v>6000000</v>
      </c>
      <c r="D98" s="22">
        <v>8000000</v>
      </c>
      <c r="E98" s="22">
        <f t="shared" si="1"/>
        <v>-2000000</v>
      </c>
      <c r="F98" s="14"/>
      <c r="G98" s="6">
        <v>8000000</v>
      </c>
      <c r="H98" s="4"/>
      <c r="Q98" s="22"/>
    </row>
    <row r="99" spans="1:17" ht="15.75" customHeight="1" x14ac:dyDescent="0.25">
      <c r="A99" t="s">
        <v>740</v>
      </c>
      <c r="B99" t="s">
        <v>209</v>
      </c>
      <c r="C99" s="22">
        <v>14250000</v>
      </c>
      <c r="D99" s="22">
        <v>19000000</v>
      </c>
      <c r="E99" s="22">
        <f t="shared" si="1"/>
        <v>-4750000</v>
      </c>
      <c r="F99" s="14"/>
      <c r="G99" s="6">
        <v>19000000</v>
      </c>
      <c r="H99" s="4"/>
      <c r="Q99" s="22"/>
    </row>
    <row r="100" spans="1:17" ht="15.75" customHeight="1" x14ac:dyDescent="0.25">
      <c r="A100" t="s">
        <v>740</v>
      </c>
      <c r="B100" t="s">
        <v>283</v>
      </c>
      <c r="C100" s="22">
        <v>6000000</v>
      </c>
      <c r="D100" s="22">
        <v>8000000</v>
      </c>
      <c r="E100" s="22">
        <f t="shared" si="1"/>
        <v>-2000000</v>
      </c>
      <c r="F100" s="14"/>
      <c r="G100" s="6">
        <v>8000000</v>
      </c>
      <c r="H100" s="4"/>
      <c r="Q100" s="22"/>
    </row>
    <row r="101" spans="1:17" ht="15.75" customHeight="1" x14ac:dyDescent="0.25">
      <c r="A101" t="s">
        <v>740</v>
      </c>
      <c r="B101" t="s">
        <v>267</v>
      </c>
      <c r="C101" s="22">
        <v>6000000</v>
      </c>
      <c r="D101" s="22">
        <v>8000000</v>
      </c>
      <c r="E101" s="22">
        <f t="shared" si="1"/>
        <v>-2000000</v>
      </c>
      <c r="F101" s="14"/>
      <c r="G101" s="6">
        <v>8000000</v>
      </c>
      <c r="H101" s="4"/>
      <c r="Q101" s="22"/>
    </row>
    <row r="102" spans="1:17" ht="15.75" customHeight="1" x14ac:dyDescent="0.25">
      <c r="A102" t="s">
        <v>740</v>
      </c>
      <c r="B102" t="s">
        <v>118</v>
      </c>
      <c r="C102" s="22">
        <v>22500000</v>
      </c>
      <c r="D102" s="22">
        <v>30000000</v>
      </c>
      <c r="E102" s="22">
        <f t="shared" si="1"/>
        <v>-7500000</v>
      </c>
      <c r="F102" s="14"/>
      <c r="G102" s="6">
        <v>30000000</v>
      </c>
      <c r="H102" s="4"/>
      <c r="Q102" s="22"/>
    </row>
    <row r="103" spans="1:17" ht="15.75" customHeight="1" x14ac:dyDescent="0.25">
      <c r="A103" t="s">
        <v>740</v>
      </c>
      <c r="B103" t="s">
        <v>290</v>
      </c>
      <c r="C103" s="22">
        <v>6000000</v>
      </c>
      <c r="D103" s="22">
        <v>8000000</v>
      </c>
      <c r="E103" s="22">
        <f t="shared" si="1"/>
        <v>-2000000</v>
      </c>
      <c r="F103" s="14"/>
      <c r="G103" s="6">
        <v>8000000</v>
      </c>
      <c r="H103" s="4"/>
      <c r="Q103" s="22"/>
    </row>
    <row r="104" spans="1:17" ht="15.75" customHeight="1" x14ac:dyDescent="0.25">
      <c r="A104" t="s">
        <v>740</v>
      </c>
      <c r="B104" t="s">
        <v>728</v>
      </c>
      <c r="C104" s="22">
        <v>6000000</v>
      </c>
      <c r="D104" s="22">
        <v>0</v>
      </c>
      <c r="E104" s="22">
        <v>0</v>
      </c>
      <c r="F104" s="14"/>
      <c r="G104" s="6" t="e">
        <v>#N/A</v>
      </c>
      <c r="H104" s="4"/>
      <c r="Q104" s="22"/>
    </row>
    <row r="105" spans="1:17" ht="15.75" customHeight="1" x14ac:dyDescent="0.25">
      <c r="A105" t="s">
        <v>740</v>
      </c>
      <c r="B105" t="s">
        <v>292</v>
      </c>
      <c r="C105" s="22">
        <v>6000000</v>
      </c>
      <c r="D105" s="22">
        <v>8000000</v>
      </c>
      <c r="E105" s="22">
        <f t="shared" si="1"/>
        <v>-2000000</v>
      </c>
      <c r="F105" s="14"/>
      <c r="G105" s="6">
        <v>8000000</v>
      </c>
      <c r="H105" s="4"/>
      <c r="Q105" s="22"/>
    </row>
    <row r="106" spans="1:17" ht="15.75" customHeight="1" x14ac:dyDescent="0.25">
      <c r="A106" t="s">
        <v>740</v>
      </c>
      <c r="B106" t="s">
        <v>285</v>
      </c>
      <c r="C106" s="22">
        <v>6000000</v>
      </c>
      <c r="D106" s="22">
        <v>8000000</v>
      </c>
      <c r="E106" s="22">
        <f t="shared" si="1"/>
        <v>-2000000</v>
      </c>
      <c r="F106" s="14"/>
      <c r="G106" s="6">
        <v>8000000</v>
      </c>
      <c r="H106" s="4"/>
      <c r="Q106" s="22"/>
    </row>
    <row r="107" spans="1:17" ht="15.75" customHeight="1" x14ac:dyDescent="0.25">
      <c r="A107" t="s">
        <v>740</v>
      </c>
      <c r="B107" t="s">
        <v>153</v>
      </c>
      <c r="C107" s="22">
        <v>14476800</v>
      </c>
      <c r="D107" s="22">
        <v>19302400</v>
      </c>
      <c r="E107" s="22">
        <f t="shared" si="1"/>
        <v>-4825600</v>
      </c>
      <c r="F107" s="14"/>
      <c r="G107" s="6">
        <v>19302400</v>
      </c>
      <c r="H107" s="4"/>
      <c r="Q107" s="22"/>
    </row>
    <row r="108" spans="1:17" ht="15.75" customHeight="1" x14ac:dyDescent="0.25">
      <c r="A108" t="s">
        <v>740</v>
      </c>
      <c r="B108" t="s">
        <v>295</v>
      </c>
      <c r="C108" s="22">
        <v>6000000</v>
      </c>
      <c r="D108" s="22">
        <v>8000000</v>
      </c>
      <c r="E108" s="22">
        <f t="shared" si="1"/>
        <v>-2000000</v>
      </c>
      <c r="F108" s="14"/>
      <c r="G108" s="6">
        <v>8000000</v>
      </c>
      <c r="H108" s="4"/>
      <c r="Q108" s="22"/>
    </row>
    <row r="109" spans="1:17" ht="15.75" customHeight="1" x14ac:dyDescent="0.25">
      <c r="A109" t="s">
        <v>740</v>
      </c>
      <c r="B109" t="s">
        <v>299</v>
      </c>
      <c r="C109" s="22">
        <v>6000000</v>
      </c>
      <c r="D109" s="22">
        <v>8000000</v>
      </c>
      <c r="E109" s="22">
        <f t="shared" si="1"/>
        <v>-2000000</v>
      </c>
      <c r="F109" s="14"/>
      <c r="G109" s="6">
        <v>8000000</v>
      </c>
      <c r="H109" s="4"/>
      <c r="J109" s="14"/>
      <c r="Q109" s="22"/>
    </row>
    <row r="110" spans="1:17" ht="15.75" customHeight="1" x14ac:dyDescent="0.25">
      <c r="A110" t="s">
        <v>740</v>
      </c>
      <c r="B110" t="s">
        <v>303</v>
      </c>
      <c r="C110" s="22">
        <v>6000000</v>
      </c>
      <c r="D110" s="22">
        <v>8000000</v>
      </c>
      <c r="E110" s="22">
        <f t="shared" si="1"/>
        <v>-2000000</v>
      </c>
      <c r="F110" s="14"/>
      <c r="G110" s="6">
        <v>8000000</v>
      </c>
      <c r="H110" s="4"/>
      <c r="Q110" s="22"/>
    </row>
    <row r="111" spans="1:17" ht="15.75" customHeight="1" x14ac:dyDescent="0.25">
      <c r="A111" t="s">
        <v>740</v>
      </c>
      <c r="B111" t="s">
        <v>122</v>
      </c>
      <c r="C111" s="22">
        <v>22500000</v>
      </c>
      <c r="D111" s="22">
        <v>30000000</v>
      </c>
      <c r="E111" s="22">
        <f t="shared" si="1"/>
        <v>-7500000</v>
      </c>
      <c r="F111" s="14"/>
      <c r="G111" s="6">
        <v>30000000</v>
      </c>
      <c r="H111" s="4"/>
      <c r="Q111" s="22"/>
    </row>
    <row r="112" spans="1:17" ht="15.75" customHeight="1" x14ac:dyDescent="0.25">
      <c r="A112" t="s">
        <v>740</v>
      </c>
      <c r="B112" t="s">
        <v>213</v>
      </c>
      <c r="C112" s="22">
        <v>14250000</v>
      </c>
      <c r="D112" s="22">
        <v>19000000</v>
      </c>
      <c r="E112" s="22">
        <f t="shared" si="1"/>
        <v>-4750000</v>
      </c>
      <c r="F112" s="14"/>
      <c r="G112" s="6">
        <v>19000000</v>
      </c>
      <c r="H112" s="4"/>
      <c r="Q112" s="22"/>
    </row>
    <row r="113" spans="1:17" ht="15.75" customHeight="1" x14ac:dyDescent="0.25">
      <c r="A113" t="s">
        <v>740</v>
      </c>
      <c r="B113" t="s">
        <v>120</v>
      </c>
      <c r="C113" s="22">
        <v>22500000</v>
      </c>
      <c r="D113" s="22">
        <v>30000000</v>
      </c>
      <c r="E113" s="22">
        <f t="shared" si="1"/>
        <v>-7500000</v>
      </c>
      <c r="F113" s="14"/>
      <c r="G113" s="6">
        <v>30000000</v>
      </c>
      <c r="H113" s="4"/>
      <c r="Q113" s="22"/>
    </row>
    <row r="114" spans="1:17" ht="15.75" customHeight="1" x14ac:dyDescent="0.25">
      <c r="A114" t="s">
        <v>740</v>
      </c>
      <c r="B114" t="s">
        <v>215</v>
      </c>
      <c r="C114" s="22">
        <v>14250000</v>
      </c>
      <c r="D114" s="22">
        <v>19000000</v>
      </c>
      <c r="E114" s="22">
        <f t="shared" si="1"/>
        <v>-4750000</v>
      </c>
      <c r="F114" s="14"/>
      <c r="G114" s="6">
        <v>19000000</v>
      </c>
      <c r="H114" s="4"/>
      <c r="Q114" s="22"/>
    </row>
    <row r="115" spans="1:17" ht="15.75" customHeight="1" x14ac:dyDescent="0.25">
      <c r="A115" t="s">
        <v>740</v>
      </c>
      <c r="B115" t="s">
        <v>211</v>
      </c>
      <c r="C115" s="22">
        <v>14250000</v>
      </c>
      <c r="D115" s="22">
        <v>19000000</v>
      </c>
      <c r="E115" s="22">
        <f t="shared" si="1"/>
        <v>-4750000</v>
      </c>
      <c r="F115" s="14"/>
      <c r="G115" s="6">
        <v>19000000</v>
      </c>
      <c r="H115" s="4"/>
      <c r="Q115" s="22"/>
    </row>
    <row r="116" spans="1:17" ht="15.75" customHeight="1" x14ac:dyDescent="0.25">
      <c r="A116" t="s">
        <v>740</v>
      </c>
      <c r="B116" t="s">
        <v>297</v>
      </c>
      <c r="C116" s="22">
        <v>6000000</v>
      </c>
      <c r="D116" s="22">
        <v>8000000</v>
      </c>
      <c r="E116" s="22">
        <f t="shared" si="1"/>
        <v>-2000000</v>
      </c>
      <c r="F116" s="14"/>
      <c r="G116" s="6">
        <v>8000000</v>
      </c>
      <c r="H116" s="4"/>
      <c r="Q116" s="22"/>
    </row>
    <row r="117" spans="1:17" ht="15.75" customHeight="1" x14ac:dyDescent="0.25">
      <c r="A117" t="s">
        <v>740</v>
      </c>
      <c r="B117" t="s">
        <v>305</v>
      </c>
      <c r="C117" s="22">
        <v>6000000</v>
      </c>
      <c r="D117" s="22">
        <v>8000000</v>
      </c>
      <c r="E117" s="22">
        <f t="shared" si="1"/>
        <v>-2000000</v>
      </c>
      <c r="F117" s="14"/>
      <c r="G117" s="6">
        <v>8000000</v>
      </c>
      <c r="H117" s="4"/>
      <c r="Q117" s="22"/>
    </row>
    <row r="118" spans="1:17" ht="15.75" customHeight="1" x14ac:dyDescent="0.25">
      <c r="A118" t="s">
        <v>740</v>
      </c>
      <c r="B118" t="s">
        <v>301</v>
      </c>
      <c r="C118" s="22">
        <v>6000000</v>
      </c>
      <c r="D118" s="22">
        <v>8000000</v>
      </c>
      <c r="E118" s="22">
        <f t="shared" si="1"/>
        <v>-2000000</v>
      </c>
      <c r="F118" s="14"/>
      <c r="G118" s="6">
        <v>8000000</v>
      </c>
      <c r="H118" s="4"/>
      <c r="Q118" s="22"/>
    </row>
    <row r="119" spans="1:17" ht="15.75" customHeight="1" x14ac:dyDescent="0.25">
      <c r="A119" t="s">
        <v>740</v>
      </c>
      <c r="B119" t="s">
        <v>144</v>
      </c>
      <c r="C119" s="22">
        <v>18000000</v>
      </c>
      <c r="D119" s="22">
        <v>24000000</v>
      </c>
      <c r="E119" s="22">
        <f t="shared" si="1"/>
        <v>-6000000</v>
      </c>
      <c r="F119" s="14"/>
      <c r="G119" s="6">
        <v>24000000</v>
      </c>
      <c r="H119" s="4"/>
      <c r="Q119" s="22"/>
    </row>
    <row r="120" spans="1:17" ht="15.75" customHeight="1" x14ac:dyDescent="0.25">
      <c r="A120" t="s">
        <v>740</v>
      </c>
      <c r="B120" t="s">
        <v>309</v>
      </c>
      <c r="C120" s="22">
        <v>6000000</v>
      </c>
      <c r="D120" s="22">
        <v>8000000</v>
      </c>
      <c r="E120" s="22">
        <f t="shared" si="1"/>
        <v>-2000000</v>
      </c>
      <c r="F120" s="14"/>
      <c r="G120" s="6">
        <v>8000000</v>
      </c>
      <c r="H120" s="4"/>
      <c r="Q120" s="22"/>
    </row>
    <row r="121" spans="1:17" ht="15.75" customHeight="1" x14ac:dyDescent="0.25">
      <c r="A121" t="s">
        <v>740</v>
      </c>
      <c r="B121" t="s">
        <v>307</v>
      </c>
      <c r="C121" s="22">
        <v>6000000</v>
      </c>
      <c r="D121" s="22">
        <v>8000000</v>
      </c>
      <c r="E121" s="22">
        <f t="shared" si="1"/>
        <v>-2000000</v>
      </c>
      <c r="F121" s="14"/>
      <c r="G121" s="6">
        <v>8000000</v>
      </c>
      <c r="H121" s="4"/>
      <c r="Q121" s="22"/>
    </row>
    <row r="122" spans="1:17" ht="15.75" customHeight="1" x14ac:dyDescent="0.25">
      <c r="A122" t="s">
        <v>740</v>
      </c>
      <c r="B122" t="s">
        <v>288</v>
      </c>
      <c r="C122" s="22">
        <v>6000000</v>
      </c>
      <c r="D122" s="22">
        <v>8000000</v>
      </c>
      <c r="E122" s="22">
        <f t="shared" si="1"/>
        <v>-2000000</v>
      </c>
      <c r="F122" s="14"/>
      <c r="G122" s="6">
        <v>8000000</v>
      </c>
      <c r="H122" s="4"/>
      <c r="Q122" s="22"/>
    </row>
    <row r="123" spans="1:17" ht="15.75" customHeight="1" x14ac:dyDescent="0.25">
      <c r="A123" t="s">
        <v>740</v>
      </c>
      <c r="B123" t="s">
        <v>146</v>
      </c>
      <c r="C123" s="22">
        <v>18000000</v>
      </c>
      <c r="D123" s="22">
        <v>24000000</v>
      </c>
      <c r="E123" s="22">
        <f t="shared" si="1"/>
        <v>-6000000</v>
      </c>
      <c r="F123" s="14"/>
      <c r="G123" s="6">
        <v>24000000</v>
      </c>
      <c r="H123" s="4"/>
      <c r="Q123" s="22"/>
    </row>
    <row r="124" spans="1:17" ht="15.75" customHeight="1" x14ac:dyDescent="0.25">
      <c r="A124" t="s">
        <v>740</v>
      </c>
      <c r="B124" t="s">
        <v>247</v>
      </c>
      <c r="C124" s="22">
        <v>6000000</v>
      </c>
      <c r="D124" s="22">
        <v>8000000</v>
      </c>
      <c r="E124" s="22">
        <f t="shared" si="1"/>
        <v>-2000000</v>
      </c>
      <c r="F124" s="14"/>
      <c r="G124" s="6">
        <v>8000000</v>
      </c>
      <c r="H124" s="4"/>
      <c r="Q124" s="22"/>
    </row>
    <row r="125" spans="1:17" ht="15.75" customHeight="1" x14ac:dyDescent="0.25">
      <c r="A125" t="s">
        <v>740</v>
      </c>
      <c r="B125" t="s">
        <v>265</v>
      </c>
      <c r="C125" s="22">
        <v>6000000</v>
      </c>
      <c r="D125" s="22">
        <v>8000000</v>
      </c>
      <c r="E125" s="22">
        <f t="shared" si="1"/>
        <v>-2000000</v>
      </c>
      <c r="F125" s="14"/>
      <c r="G125" s="6">
        <v>8000000</v>
      </c>
      <c r="H125" s="4"/>
      <c r="Q125" s="22"/>
    </row>
    <row r="126" spans="1:17" ht="15.75" customHeight="1" x14ac:dyDescent="0.25">
      <c r="A126" t="s">
        <v>740</v>
      </c>
      <c r="B126" t="s">
        <v>727</v>
      </c>
      <c r="C126" s="22">
        <v>6000000</v>
      </c>
      <c r="D126" s="22">
        <v>0</v>
      </c>
      <c r="E126" s="22">
        <v>0</v>
      </c>
      <c r="F126" s="14"/>
      <c r="G126" s="6" t="e">
        <v>#N/A</v>
      </c>
      <c r="H126" s="4"/>
      <c r="Q126" s="22"/>
    </row>
    <row r="127" spans="1:17" ht="15.75" customHeight="1" x14ac:dyDescent="0.25">
      <c r="A127" t="s">
        <v>740</v>
      </c>
      <c r="B127" t="s">
        <v>311</v>
      </c>
      <c r="C127" s="22">
        <v>6000000</v>
      </c>
      <c r="D127" s="22">
        <v>8000000</v>
      </c>
      <c r="E127" s="22">
        <f t="shared" si="1"/>
        <v>-2000000</v>
      </c>
      <c r="F127" s="14"/>
      <c r="G127" s="6">
        <v>8000000</v>
      </c>
      <c r="H127" s="4"/>
      <c r="Q127" s="22"/>
    </row>
    <row r="128" spans="1:17" ht="15.75" customHeight="1" x14ac:dyDescent="0.25">
      <c r="A128" t="s">
        <v>740</v>
      </c>
      <c r="B128" t="s">
        <v>320</v>
      </c>
      <c r="C128" s="22">
        <v>14250000</v>
      </c>
      <c r="D128" s="22">
        <v>14250000</v>
      </c>
      <c r="E128" s="22">
        <f t="shared" si="1"/>
        <v>0</v>
      </c>
      <c r="F128" s="14"/>
      <c r="G128" s="6">
        <v>14250000</v>
      </c>
      <c r="H128" s="4"/>
      <c r="Q128" s="22"/>
    </row>
    <row r="129" spans="1:17" ht="15.75" customHeight="1" x14ac:dyDescent="0.25">
      <c r="A129" t="s">
        <v>740</v>
      </c>
      <c r="B129" t="s">
        <v>324</v>
      </c>
      <c r="C129" s="22">
        <v>6000000</v>
      </c>
      <c r="D129" s="22">
        <v>6000000</v>
      </c>
      <c r="E129" s="22">
        <f t="shared" si="1"/>
        <v>0</v>
      </c>
      <c r="F129" s="14"/>
      <c r="G129" s="6">
        <v>6000000</v>
      </c>
      <c r="H129" s="4"/>
      <c r="Q129" s="22"/>
    </row>
    <row r="130" spans="1:17" ht="15.75" customHeight="1" x14ac:dyDescent="0.25">
      <c r="A130" t="s">
        <v>740</v>
      </c>
      <c r="B130" t="s">
        <v>326</v>
      </c>
      <c r="C130" s="22">
        <v>6000000</v>
      </c>
      <c r="D130" s="22">
        <v>6000000</v>
      </c>
      <c r="E130" s="22">
        <f t="shared" si="1"/>
        <v>0</v>
      </c>
      <c r="F130" s="14"/>
      <c r="G130" s="6">
        <v>6000000</v>
      </c>
      <c r="H130" s="4"/>
      <c r="Q130" s="22"/>
    </row>
    <row r="131" spans="1:17" ht="15.75" customHeight="1" x14ac:dyDescent="0.25">
      <c r="A131" t="s">
        <v>740</v>
      </c>
      <c r="B131" t="s">
        <v>331</v>
      </c>
      <c r="C131" s="22">
        <v>6000000</v>
      </c>
      <c r="D131" s="22">
        <v>6000000</v>
      </c>
      <c r="E131" s="22">
        <f t="shared" ref="E131:E194" si="2">C131-D131</f>
        <v>0</v>
      </c>
      <c r="F131" s="14"/>
      <c r="G131" s="6">
        <v>6000000</v>
      </c>
      <c r="H131" s="4"/>
      <c r="Q131" s="22"/>
    </row>
    <row r="132" spans="1:17" ht="15.75" customHeight="1" x14ac:dyDescent="0.25">
      <c r="A132" t="s">
        <v>740</v>
      </c>
      <c r="B132" t="s">
        <v>329</v>
      </c>
      <c r="C132" s="22">
        <v>6000000</v>
      </c>
      <c r="D132" s="22">
        <v>6000000</v>
      </c>
      <c r="E132" s="22">
        <f t="shared" si="2"/>
        <v>0</v>
      </c>
      <c r="F132" s="14"/>
      <c r="G132" s="6">
        <v>6000000</v>
      </c>
      <c r="H132" s="4"/>
      <c r="Q132" s="22"/>
    </row>
    <row r="133" spans="1:17" ht="15.75" customHeight="1" x14ac:dyDescent="0.25">
      <c r="A133" t="s">
        <v>740</v>
      </c>
      <c r="B133" t="s">
        <v>333</v>
      </c>
      <c r="C133" s="22">
        <v>6000000</v>
      </c>
      <c r="D133" s="22">
        <v>6000000</v>
      </c>
      <c r="E133" s="22">
        <f t="shared" si="2"/>
        <v>0</v>
      </c>
      <c r="F133" s="14"/>
      <c r="G133" s="6">
        <v>6000000</v>
      </c>
      <c r="H133" s="4"/>
      <c r="Q133" s="22"/>
    </row>
    <row r="134" spans="1:17" ht="15.75" customHeight="1" x14ac:dyDescent="0.25">
      <c r="A134" t="s">
        <v>740</v>
      </c>
      <c r="B134" t="s">
        <v>335</v>
      </c>
      <c r="C134" s="22">
        <v>6000000</v>
      </c>
      <c r="D134" s="22">
        <v>6000000</v>
      </c>
      <c r="E134" s="22">
        <f t="shared" si="2"/>
        <v>0</v>
      </c>
      <c r="F134" s="14"/>
      <c r="G134" s="6">
        <v>6000000</v>
      </c>
      <c r="H134" s="4"/>
      <c r="Q134" s="22"/>
    </row>
    <row r="135" spans="1:17" ht="15.75" customHeight="1" x14ac:dyDescent="0.25">
      <c r="A135" t="s">
        <v>740</v>
      </c>
      <c r="B135" t="s">
        <v>340</v>
      </c>
      <c r="C135" s="22">
        <v>6000000</v>
      </c>
      <c r="D135" s="22">
        <v>6000000</v>
      </c>
      <c r="E135" s="22">
        <f t="shared" si="2"/>
        <v>0</v>
      </c>
      <c r="F135" s="14"/>
      <c r="G135" s="6">
        <v>6000000</v>
      </c>
      <c r="H135" s="4"/>
      <c r="Q135" s="22"/>
    </row>
    <row r="136" spans="1:17" ht="15.75" customHeight="1" x14ac:dyDescent="0.25">
      <c r="A136" t="s">
        <v>740</v>
      </c>
      <c r="B136" t="s">
        <v>342</v>
      </c>
      <c r="C136" s="22">
        <v>14250000</v>
      </c>
      <c r="D136" s="22">
        <v>14250000</v>
      </c>
      <c r="E136" s="22">
        <f t="shared" si="2"/>
        <v>0</v>
      </c>
      <c r="F136" s="14"/>
      <c r="G136" s="6">
        <v>14250000</v>
      </c>
      <c r="H136" s="4"/>
      <c r="Q136" s="22"/>
    </row>
    <row r="137" spans="1:17" ht="15.75" customHeight="1" x14ac:dyDescent="0.25">
      <c r="A137" t="s">
        <v>740</v>
      </c>
      <c r="B137" t="s">
        <v>338</v>
      </c>
      <c r="C137" s="22">
        <v>6000000</v>
      </c>
      <c r="D137" s="22">
        <v>6000000</v>
      </c>
      <c r="E137" s="22">
        <f t="shared" si="2"/>
        <v>0</v>
      </c>
      <c r="F137" s="14"/>
      <c r="G137" s="6">
        <v>6000000</v>
      </c>
      <c r="H137" s="4"/>
      <c r="Q137" s="22"/>
    </row>
    <row r="138" spans="1:17" ht="15.75" customHeight="1" x14ac:dyDescent="0.25">
      <c r="A138" t="s">
        <v>740</v>
      </c>
      <c r="B138" t="s">
        <v>344</v>
      </c>
      <c r="C138" s="22">
        <v>14476800</v>
      </c>
      <c r="D138" s="22">
        <v>14476800</v>
      </c>
      <c r="E138" s="22">
        <f t="shared" si="2"/>
        <v>0</v>
      </c>
      <c r="F138" s="14"/>
      <c r="G138" s="6">
        <v>14476800</v>
      </c>
      <c r="H138" s="4"/>
      <c r="Q138" s="22"/>
    </row>
    <row r="139" spans="1:17" ht="15.75" customHeight="1" x14ac:dyDescent="0.25">
      <c r="A139" t="s">
        <v>740</v>
      </c>
      <c r="B139" t="s">
        <v>346</v>
      </c>
      <c r="C139" s="22">
        <v>14250000</v>
      </c>
      <c r="D139" s="22">
        <v>14250000</v>
      </c>
      <c r="E139" s="22">
        <f t="shared" si="2"/>
        <v>0</v>
      </c>
      <c r="F139" s="14"/>
      <c r="G139" s="6">
        <v>14250000</v>
      </c>
      <c r="H139" s="4"/>
      <c r="Q139" s="22"/>
    </row>
    <row r="140" spans="1:17" ht="15.75" customHeight="1" x14ac:dyDescent="0.25">
      <c r="A140" t="s">
        <v>740</v>
      </c>
      <c r="B140" t="s">
        <v>353</v>
      </c>
      <c r="C140" s="22">
        <v>18000000</v>
      </c>
      <c r="D140" s="22">
        <v>18000000</v>
      </c>
      <c r="E140" s="22">
        <f t="shared" si="2"/>
        <v>0</v>
      </c>
      <c r="F140" s="14"/>
      <c r="G140" s="6">
        <v>18000000</v>
      </c>
      <c r="H140" s="4"/>
      <c r="Q140" s="22"/>
    </row>
    <row r="141" spans="1:17" ht="15.75" customHeight="1" x14ac:dyDescent="0.25">
      <c r="A141" t="s">
        <v>740</v>
      </c>
      <c r="B141" t="s">
        <v>350</v>
      </c>
      <c r="C141" s="22">
        <v>22500000</v>
      </c>
      <c r="D141" s="22">
        <v>22500000</v>
      </c>
      <c r="E141" s="22">
        <f t="shared" si="2"/>
        <v>0</v>
      </c>
      <c r="F141" s="14"/>
      <c r="G141" s="6">
        <v>22500000</v>
      </c>
      <c r="H141" s="4"/>
      <c r="Q141" s="22"/>
    </row>
    <row r="142" spans="1:17" ht="15.75" customHeight="1" x14ac:dyDescent="0.25">
      <c r="A142" t="s">
        <v>740</v>
      </c>
      <c r="B142" t="s">
        <v>348</v>
      </c>
      <c r="C142" s="22">
        <v>18000000</v>
      </c>
      <c r="D142" s="22">
        <v>18000000</v>
      </c>
      <c r="E142" s="22">
        <f t="shared" si="2"/>
        <v>0</v>
      </c>
      <c r="F142" s="14"/>
      <c r="G142" s="6">
        <v>18000000</v>
      </c>
      <c r="H142" s="4"/>
      <c r="Q142" s="22"/>
    </row>
    <row r="143" spans="1:17" ht="15.75" customHeight="1" x14ac:dyDescent="0.25">
      <c r="A143" t="s">
        <v>740</v>
      </c>
      <c r="B143" t="s">
        <v>355</v>
      </c>
      <c r="C143" s="22">
        <v>6000000</v>
      </c>
      <c r="D143" s="22">
        <v>6000000</v>
      </c>
      <c r="E143" s="22">
        <f t="shared" si="2"/>
        <v>0</v>
      </c>
      <c r="F143" s="14"/>
      <c r="G143" s="6">
        <v>6000000</v>
      </c>
      <c r="H143" s="4"/>
      <c r="Q143" s="22"/>
    </row>
    <row r="144" spans="1:17" ht="15.75" customHeight="1" x14ac:dyDescent="0.25">
      <c r="A144" t="s">
        <v>740</v>
      </c>
      <c r="B144" t="s">
        <v>375</v>
      </c>
      <c r="C144" s="22">
        <v>6000000</v>
      </c>
      <c r="D144" s="22">
        <v>6000000</v>
      </c>
      <c r="E144" s="22">
        <f t="shared" si="2"/>
        <v>0</v>
      </c>
      <c r="F144" s="14"/>
      <c r="G144" s="6">
        <v>6000000</v>
      </c>
      <c r="H144" s="4"/>
      <c r="Q144" s="22"/>
    </row>
    <row r="145" spans="1:17" ht="15.75" customHeight="1" x14ac:dyDescent="0.25">
      <c r="A145" t="s">
        <v>740</v>
      </c>
      <c r="B145" t="s">
        <v>365</v>
      </c>
      <c r="C145" s="22">
        <v>18000000</v>
      </c>
      <c r="D145" s="22">
        <v>18000000</v>
      </c>
      <c r="E145" s="22">
        <f t="shared" si="2"/>
        <v>0</v>
      </c>
      <c r="F145" s="14"/>
      <c r="G145" s="6">
        <v>18000000</v>
      </c>
      <c r="H145" s="4"/>
      <c r="Q145" s="22"/>
    </row>
    <row r="146" spans="1:17" ht="15.75" customHeight="1" x14ac:dyDescent="0.25">
      <c r="A146" t="s">
        <v>740</v>
      </c>
      <c r="B146" t="s">
        <v>729</v>
      </c>
      <c r="C146" s="22">
        <v>6000000</v>
      </c>
      <c r="D146" s="22">
        <v>0</v>
      </c>
      <c r="E146" s="22">
        <v>0</v>
      </c>
      <c r="F146" s="14"/>
      <c r="G146" s="6" t="e">
        <v>#N/A</v>
      </c>
      <c r="H146" s="4"/>
      <c r="Q146" s="22"/>
    </row>
    <row r="147" spans="1:17" ht="15.75" customHeight="1" x14ac:dyDescent="0.25">
      <c r="A147" t="s">
        <v>740</v>
      </c>
      <c r="B147" t="s">
        <v>370</v>
      </c>
      <c r="C147" s="22">
        <v>22500000</v>
      </c>
      <c r="D147" s="22">
        <v>22500000</v>
      </c>
      <c r="E147" s="22">
        <f t="shared" si="2"/>
        <v>0</v>
      </c>
      <c r="F147" s="14"/>
      <c r="G147" s="6">
        <v>22500000</v>
      </c>
      <c r="H147" s="4"/>
      <c r="Q147" s="22"/>
    </row>
    <row r="148" spans="1:17" ht="15.75" customHeight="1" x14ac:dyDescent="0.25">
      <c r="A148" t="s">
        <v>740</v>
      </c>
      <c r="B148" t="s">
        <v>360</v>
      </c>
      <c r="C148" s="22">
        <v>22500000</v>
      </c>
      <c r="D148" s="22">
        <v>22500000</v>
      </c>
      <c r="E148" s="22">
        <f t="shared" si="2"/>
        <v>0</v>
      </c>
      <c r="F148" s="14"/>
      <c r="G148" s="6">
        <v>22500000</v>
      </c>
      <c r="H148" s="4"/>
      <c r="Q148" s="22"/>
    </row>
    <row r="149" spans="1:17" ht="15.75" customHeight="1" x14ac:dyDescent="0.25">
      <c r="A149" t="s">
        <v>740</v>
      </c>
      <c r="B149" t="s">
        <v>373</v>
      </c>
      <c r="C149" s="22">
        <v>6000000</v>
      </c>
      <c r="D149" s="22">
        <v>6000000</v>
      </c>
      <c r="E149" s="22">
        <f t="shared" si="2"/>
        <v>0</v>
      </c>
      <c r="F149" s="14"/>
      <c r="G149" s="6">
        <v>6000000</v>
      </c>
      <c r="H149" s="4"/>
      <c r="Q149" s="22"/>
    </row>
    <row r="150" spans="1:17" ht="15.75" customHeight="1" x14ac:dyDescent="0.25">
      <c r="A150" t="s">
        <v>740</v>
      </c>
      <c r="B150" t="s">
        <v>362</v>
      </c>
      <c r="C150" s="22">
        <v>18000000</v>
      </c>
      <c r="D150" s="22">
        <v>18000000</v>
      </c>
      <c r="E150" s="22">
        <f t="shared" si="2"/>
        <v>0</v>
      </c>
      <c r="F150" s="14"/>
      <c r="G150" s="6">
        <v>18000000</v>
      </c>
      <c r="H150" s="4"/>
      <c r="Q150" s="22"/>
    </row>
    <row r="151" spans="1:17" ht="15.75" customHeight="1" x14ac:dyDescent="0.25">
      <c r="A151" t="s">
        <v>740</v>
      </c>
      <c r="B151" t="s">
        <v>378</v>
      </c>
      <c r="C151" s="22">
        <v>6000000</v>
      </c>
      <c r="D151" s="22">
        <v>6000000</v>
      </c>
      <c r="E151" s="22">
        <f t="shared" si="2"/>
        <v>0</v>
      </c>
      <c r="F151" s="14"/>
      <c r="G151" s="6">
        <v>6000000</v>
      </c>
      <c r="H151" s="4"/>
      <c r="Q151" s="22"/>
    </row>
    <row r="152" spans="1:17" ht="15.75" customHeight="1" x14ac:dyDescent="0.25">
      <c r="A152" t="s">
        <v>740</v>
      </c>
      <c r="B152" t="s">
        <v>388</v>
      </c>
      <c r="C152" s="22">
        <v>6000000</v>
      </c>
      <c r="D152" s="22">
        <v>6000000</v>
      </c>
      <c r="E152" s="22">
        <f t="shared" si="2"/>
        <v>0</v>
      </c>
      <c r="F152" s="14"/>
      <c r="G152" s="6">
        <v>6000000</v>
      </c>
      <c r="H152" s="4"/>
      <c r="Q152" s="22"/>
    </row>
    <row r="153" spans="1:17" ht="15.75" customHeight="1" x14ac:dyDescent="0.25">
      <c r="A153" t="s">
        <v>740</v>
      </c>
      <c r="B153" t="s">
        <v>380</v>
      </c>
      <c r="C153" s="22">
        <v>6000000</v>
      </c>
      <c r="D153" s="22">
        <v>6000000</v>
      </c>
      <c r="E153" s="22">
        <f t="shared" si="2"/>
        <v>0</v>
      </c>
      <c r="F153" s="14"/>
      <c r="G153" s="6">
        <v>6000000</v>
      </c>
      <c r="H153" s="4"/>
      <c r="Q153" s="22"/>
    </row>
    <row r="154" spans="1:17" ht="15.75" customHeight="1" x14ac:dyDescent="0.25">
      <c r="A154" t="s">
        <v>740</v>
      </c>
      <c r="B154" t="s">
        <v>368</v>
      </c>
      <c r="C154" s="22">
        <v>18000000</v>
      </c>
      <c r="D154" s="22">
        <v>18000000</v>
      </c>
      <c r="E154" s="22">
        <f t="shared" si="2"/>
        <v>0</v>
      </c>
      <c r="F154" s="14"/>
      <c r="G154" s="6">
        <v>18000000</v>
      </c>
      <c r="H154" s="4"/>
      <c r="Q154" s="22"/>
    </row>
    <row r="155" spans="1:17" ht="15.75" customHeight="1" x14ac:dyDescent="0.25">
      <c r="A155" t="s">
        <v>740</v>
      </c>
      <c r="B155" t="s">
        <v>382</v>
      </c>
      <c r="C155" s="22">
        <v>14476800</v>
      </c>
      <c r="D155" s="22">
        <v>14476800</v>
      </c>
      <c r="E155" s="22">
        <f t="shared" si="2"/>
        <v>0</v>
      </c>
      <c r="F155" s="14"/>
      <c r="G155" s="6">
        <v>14476800</v>
      </c>
      <c r="H155" s="4"/>
      <c r="Q155" s="22"/>
    </row>
    <row r="156" spans="1:17" ht="15.75" customHeight="1" x14ac:dyDescent="0.25">
      <c r="A156" t="s">
        <v>740</v>
      </c>
      <c r="B156" t="s">
        <v>384</v>
      </c>
      <c r="C156" s="22">
        <v>14250000</v>
      </c>
      <c r="D156" s="22">
        <v>14250000</v>
      </c>
      <c r="E156" s="22">
        <f t="shared" si="2"/>
        <v>0</v>
      </c>
      <c r="F156" s="14"/>
      <c r="G156" s="6">
        <v>14250000</v>
      </c>
      <c r="H156" s="4"/>
      <c r="Q156" s="22"/>
    </row>
    <row r="157" spans="1:17" ht="15.75" customHeight="1" x14ac:dyDescent="0.25">
      <c r="A157" t="s">
        <v>740</v>
      </c>
      <c r="B157" t="s">
        <v>386</v>
      </c>
      <c r="C157" s="22">
        <v>6000000</v>
      </c>
      <c r="D157" s="22">
        <v>6000000</v>
      </c>
      <c r="E157" s="22">
        <f t="shared" si="2"/>
        <v>0</v>
      </c>
      <c r="F157" s="14"/>
      <c r="G157" s="6">
        <v>6000000</v>
      </c>
      <c r="H157" s="4"/>
      <c r="Q157" s="22"/>
    </row>
    <row r="158" spans="1:17" ht="15.75" customHeight="1" x14ac:dyDescent="0.25">
      <c r="A158" t="s">
        <v>740</v>
      </c>
      <c r="B158" t="s">
        <v>393</v>
      </c>
      <c r="C158" s="22">
        <v>14476800</v>
      </c>
      <c r="D158" s="22">
        <v>14476800</v>
      </c>
      <c r="E158" s="22">
        <f t="shared" si="2"/>
        <v>0</v>
      </c>
      <c r="F158" s="14"/>
      <c r="G158" s="6">
        <v>14476800</v>
      </c>
      <c r="H158" s="4"/>
      <c r="Q158" s="22"/>
    </row>
    <row r="159" spans="1:17" ht="15.75" customHeight="1" x14ac:dyDescent="0.25">
      <c r="A159" t="s">
        <v>740</v>
      </c>
      <c r="B159" t="s">
        <v>395</v>
      </c>
      <c r="C159" s="22">
        <v>14476800</v>
      </c>
      <c r="D159" s="22">
        <v>14476800</v>
      </c>
      <c r="E159" s="22">
        <f t="shared" si="2"/>
        <v>0</v>
      </c>
      <c r="F159" s="14"/>
      <c r="G159" s="6">
        <v>14476800</v>
      </c>
      <c r="H159" s="4"/>
      <c r="Q159" s="22"/>
    </row>
    <row r="160" spans="1:17" ht="15.75" customHeight="1" x14ac:dyDescent="0.25">
      <c r="A160" t="s">
        <v>740</v>
      </c>
      <c r="B160" t="s">
        <v>397</v>
      </c>
      <c r="C160" s="22">
        <v>18000000</v>
      </c>
      <c r="D160" s="22">
        <v>18000000</v>
      </c>
      <c r="E160" s="22">
        <f t="shared" si="2"/>
        <v>0</v>
      </c>
      <c r="F160" s="14"/>
      <c r="G160" s="6">
        <v>18000000</v>
      </c>
      <c r="H160" s="4"/>
      <c r="Q160" s="22"/>
    </row>
    <row r="161" spans="1:17" ht="15.75" customHeight="1" x14ac:dyDescent="0.25">
      <c r="A161" t="s">
        <v>740</v>
      </c>
      <c r="B161" t="s">
        <v>401</v>
      </c>
      <c r="C161" s="22">
        <v>18000000</v>
      </c>
      <c r="D161" s="22">
        <v>18000000</v>
      </c>
      <c r="E161" s="22">
        <f t="shared" si="2"/>
        <v>0</v>
      </c>
      <c r="F161" s="14"/>
      <c r="G161" s="6">
        <v>18000000</v>
      </c>
      <c r="H161" s="4"/>
      <c r="Q161" s="22"/>
    </row>
    <row r="162" spans="1:17" ht="15.75" customHeight="1" x14ac:dyDescent="0.25">
      <c r="A162" t="s">
        <v>740</v>
      </c>
      <c r="B162" t="s">
        <v>391</v>
      </c>
      <c r="C162" s="22">
        <v>18000000</v>
      </c>
      <c r="D162" s="22">
        <v>18000000</v>
      </c>
      <c r="E162" s="22">
        <f t="shared" si="2"/>
        <v>0</v>
      </c>
      <c r="F162" s="14"/>
      <c r="G162" s="6">
        <v>18000000</v>
      </c>
      <c r="H162" s="4"/>
      <c r="Q162" s="22"/>
    </row>
    <row r="163" spans="1:17" ht="15.75" customHeight="1" x14ac:dyDescent="0.25">
      <c r="A163" t="s">
        <v>740</v>
      </c>
      <c r="B163" t="s">
        <v>399</v>
      </c>
      <c r="C163" s="22">
        <v>18000000</v>
      </c>
      <c r="D163" s="22">
        <v>18000000</v>
      </c>
      <c r="E163" s="22">
        <f t="shared" si="2"/>
        <v>0</v>
      </c>
      <c r="F163" s="14"/>
      <c r="G163" s="6">
        <v>18000000</v>
      </c>
      <c r="H163" s="4"/>
      <c r="Q163" s="22"/>
    </row>
    <row r="164" spans="1:17" ht="15.75" customHeight="1" x14ac:dyDescent="0.25">
      <c r="A164" t="s">
        <v>740</v>
      </c>
      <c r="B164" t="s">
        <v>403</v>
      </c>
      <c r="C164" s="22">
        <v>6000000</v>
      </c>
      <c r="D164" s="22">
        <v>6000000</v>
      </c>
      <c r="E164" s="22">
        <f t="shared" si="2"/>
        <v>0</v>
      </c>
      <c r="F164" s="14"/>
      <c r="G164" s="6">
        <v>6000000</v>
      </c>
      <c r="H164" s="4"/>
      <c r="Q164" s="22"/>
    </row>
    <row r="165" spans="1:17" ht="15.75" customHeight="1" x14ac:dyDescent="0.25">
      <c r="A165" t="s">
        <v>740</v>
      </c>
      <c r="B165" t="s">
        <v>405</v>
      </c>
      <c r="C165" s="22">
        <v>6000000</v>
      </c>
      <c r="D165" s="22">
        <v>6000000</v>
      </c>
      <c r="E165" s="22">
        <f t="shared" si="2"/>
        <v>0</v>
      </c>
      <c r="F165" s="14"/>
      <c r="G165" s="6">
        <v>6000000</v>
      </c>
      <c r="H165" s="4"/>
      <c r="Q165" s="22"/>
    </row>
    <row r="166" spans="1:17" ht="15.75" customHeight="1" x14ac:dyDescent="0.25">
      <c r="A166" t="s">
        <v>740</v>
      </c>
      <c r="B166" t="s">
        <v>314</v>
      </c>
      <c r="C166" s="22">
        <v>6000000</v>
      </c>
      <c r="D166" s="22">
        <v>6180000</v>
      </c>
      <c r="E166" s="22">
        <f t="shared" si="2"/>
        <v>-180000</v>
      </c>
      <c r="F166" s="14"/>
      <c r="G166" s="6">
        <v>6180000</v>
      </c>
      <c r="H166" s="4"/>
      <c r="Q166" s="22"/>
    </row>
    <row r="167" spans="1:17" ht="15.75" customHeight="1" x14ac:dyDescent="0.25">
      <c r="A167" t="s">
        <v>740</v>
      </c>
      <c r="B167" t="s">
        <v>411</v>
      </c>
      <c r="C167" s="22">
        <v>22500000</v>
      </c>
      <c r="D167" s="22">
        <v>22500000</v>
      </c>
      <c r="E167" s="22">
        <f t="shared" si="2"/>
        <v>0</v>
      </c>
      <c r="F167" s="14"/>
      <c r="G167" s="6">
        <v>22500000</v>
      </c>
      <c r="H167" s="4"/>
      <c r="Q167" s="22"/>
    </row>
    <row r="168" spans="1:17" ht="15.75" customHeight="1" x14ac:dyDescent="0.25">
      <c r="A168" t="s">
        <v>740</v>
      </c>
      <c r="B168" t="s">
        <v>413</v>
      </c>
      <c r="C168" s="22">
        <v>22500000</v>
      </c>
      <c r="D168" s="22">
        <v>22500000</v>
      </c>
      <c r="E168" s="22">
        <f t="shared" si="2"/>
        <v>0</v>
      </c>
      <c r="F168" s="14"/>
      <c r="G168" s="6">
        <v>22500000</v>
      </c>
      <c r="H168" s="4"/>
      <c r="Q168" s="22"/>
    </row>
    <row r="169" spans="1:17" ht="15.75" customHeight="1" x14ac:dyDescent="0.25">
      <c r="A169" t="s">
        <v>740</v>
      </c>
      <c r="B169" t="s">
        <v>357</v>
      </c>
      <c r="C169" s="22">
        <v>18000000</v>
      </c>
      <c r="D169" s="22">
        <v>18000000</v>
      </c>
      <c r="E169" s="22">
        <f t="shared" si="2"/>
        <v>0</v>
      </c>
      <c r="F169" s="14"/>
      <c r="G169" s="6">
        <v>18000000</v>
      </c>
      <c r="H169" s="4"/>
      <c r="Q169" s="22"/>
    </row>
    <row r="170" spans="1:17" ht="15.75" customHeight="1" x14ac:dyDescent="0.25">
      <c r="A170" t="s">
        <v>740</v>
      </c>
      <c r="B170" t="s">
        <v>432</v>
      </c>
      <c r="C170" s="22">
        <v>4000000</v>
      </c>
      <c r="D170" s="22">
        <v>4000000</v>
      </c>
      <c r="E170" s="22">
        <f t="shared" si="2"/>
        <v>0</v>
      </c>
      <c r="F170" s="14"/>
      <c r="G170" s="6">
        <v>4000000</v>
      </c>
      <c r="H170" s="4"/>
      <c r="Q170" s="22"/>
    </row>
    <row r="171" spans="1:17" ht="15.75" customHeight="1" x14ac:dyDescent="0.25">
      <c r="A171" t="s">
        <v>740</v>
      </c>
      <c r="B171" t="s">
        <v>423</v>
      </c>
      <c r="C171" s="22">
        <v>4000000</v>
      </c>
      <c r="D171" s="22">
        <v>4000000</v>
      </c>
      <c r="E171" s="22">
        <f t="shared" si="2"/>
        <v>0</v>
      </c>
      <c r="F171" s="14"/>
      <c r="G171" s="6">
        <v>4000000</v>
      </c>
      <c r="H171" s="4"/>
      <c r="Q171" s="22"/>
    </row>
    <row r="172" spans="1:17" ht="15.75" customHeight="1" x14ac:dyDescent="0.25">
      <c r="A172" t="s">
        <v>740</v>
      </c>
      <c r="B172" t="s">
        <v>429</v>
      </c>
      <c r="C172" s="22">
        <v>4000000</v>
      </c>
      <c r="D172" s="22">
        <v>4000000</v>
      </c>
      <c r="E172" s="22">
        <f t="shared" si="2"/>
        <v>0</v>
      </c>
      <c r="F172" s="14"/>
      <c r="G172" s="6">
        <v>4000000</v>
      </c>
      <c r="H172" s="4"/>
      <c r="Q172" s="22"/>
    </row>
    <row r="173" spans="1:17" ht="15.75" customHeight="1" x14ac:dyDescent="0.25">
      <c r="A173" t="s">
        <v>740</v>
      </c>
      <c r="B173" t="s">
        <v>418</v>
      </c>
      <c r="C173" s="22">
        <v>4000000</v>
      </c>
      <c r="D173" s="22">
        <v>4000000</v>
      </c>
      <c r="E173" s="22">
        <f t="shared" si="2"/>
        <v>0</v>
      </c>
      <c r="F173" s="14"/>
      <c r="G173" s="6">
        <v>4000000</v>
      </c>
      <c r="H173" s="4"/>
      <c r="Q173" s="22"/>
    </row>
    <row r="174" spans="1:17" ht="15.75" customHeight="1" x14ac:dyDescent="0.25">
      <c r="A174" t="s">
        <v>740</v>
      </c>
      <c r="B174" t="s">
        <v>415</v>
      </c>
      <c r="C174" s="22">
        <v>4000000</v>
      </c>
      <c r="D174" s="22">
        <v>4000000</v>
      </c>
      <c r="E174" s="22">
        <f t="shared" si="2"/>
        <v>0</v>
      </c>
      <c r="F174" s="14"/>
      <c r="G174" s="6">
        <v>4000000</v>
      </c>
      <c r="H174" s="4"/>
      <c r="Q174" s="22"/>
    </row>
    <row r="175" spans="1:17" ht="15.75" customHeight="1" x14ac:dyDescent="0.25">
      <c r="A175" t="s">
        <v>740</v>
      </c>
      <c r="B175" t="s">
        <v>421</v>
      </c>
      <c r="C175" s="22">
        <v>4000000</v>
      </c>
      <c r="D175" s="22">
        <v>4000000</v>
      </c>
      <c r="E175" s="22">
        <f t="shared" si="2"/>
        <v>0</v>
      </c>
      <c r="F175" s="14"/>
      <c r="G175" s="6">
        <v>4000000</v>
      </c>
      <c r="H175" s="4"/>
      <c r="Q175" s="22"/>
    </row>
    <row r="176" spans="1:17" ht="15.75" customHeight="1" x14ac:dyDescent="0.25">
      <c r="A176" t="s">
        <v>740</v>
      </c>
      <c r="B176" t="s">
        <v>445</v>
      </c>
      <c r="C176" s="22">
        <v>4000000</v>
      </c>
      <c r="D176" s="22">
        <v>4000000</v>
      </c>
      <c r="E176" s="22">
        <f t="shared" si="2"/>
        <v>0</v>
      </c>
      <c r="F176" s="14"/>
      <c r="G176" s="6">
        <v>4000000</v>
      </c>
      <c r="H176" s="4"/>
      <c r="Q176" s="22"/>
    </row>
    <row r="177" spans="1:17" ht="15.75" customHeight="1" x14ac:dyDescent="0.25">
      <c r="A177" t="s">
        <v>740</v>
      </c>
      <c r="B177" t="s">
        <v>426</v>
      </c>
      <c r="C177" s="22">
        <v>4000000</v>
      </c>
      <c r="D177" s="22">
        <v>4000000</v>
      </c>
      <c r="E177" s="22">
        <f t="shared" si="2"/>
        <v>0</v>
      </c>
      <c r="F177" s="14"/>
      <c r="G177" s="6">
        <v>4000000</v>
      </c>
      <c r="H177" s="4"/>
      <c r="Q177" s="22"/>
    </row>
    <row r="178" spans="1:17" ht="15.75" customHeight="1" x14ac:dyDescent="0.25">
      <c r="A178" t="s">
        <v>740</v>
      </c>
      <c r="B178" t="s">
        <v>452</v>
      </c>
      <c r="C178" s="22">
        <v>4000000</v>
      </c>
      <c r="D178" s="22">
        <v>3733333.33</v>
      </c>
      <c r="E178" s="22">
        <f t="shared" si="2"/>
        <v>266666.66999999993</v>
      </c>
      <c r="F178" s="14"/>
      <c r="G178" s="6">
        <v>3733333.33</v>
      </c>
      <c r="H178" s="4"/>
      <c r="Q178" s="22"/>
    </row>
    <row r="179" spans="1:17" ht="15.75" customHeight="1" x14ac:dyDescent="0.25">
      <c r="A179" t="s">
        <v>740</v>
      </c>
      <c r="B179" t="s">
        <v>450</v>
      </c>
      <c r="C179" s="22">
        <v>4000000</v>
      </c>
      <c r="D179" s="22">
        <v>4000000</v>
      </c>
      <c r="E179" s="22">
        <f t="shared" si="2"/>
        <v>0</v>
      </c>
      <c r="F179" s="14"/>
      <c r="G179" s="6">
        <v>4000000</v>
      </c>
      <c r="H179" s="4"/>
      <c r="Q179" s="22"/>
    </row>
    <row r="180" spans="1:17" ht="15.75" customHeight="1" x14ac:dyDescent="0.25">
      <c r="A180" t="s">
        <v>740</v>
      </c>
      <c r="B180" t="s">
        <v>439</v>
      </c>
      <c r="C180" s="22">
        <v>4000000</v>
      </c>
      <c r="D180" s="22">
        <v>4000000</v>
      </c>
      <c r="E180" s="22">
        <f t="shared" si="2"/>
        <v>0</v>
      </c>
      <c r="F180" s="14"/>
      <c r="G180" s="6">
        <v>4000000</v>
      </c>
      <c r="H180" s="4"/>
      <c r="Q180" s="22"/>
    </row>
    <row r="181" spans="1:17" ht="15.75" customHeight="1" x14ac:dyDescent="0.25">
      <c r="A181" t="s">
        <v>740</v>
      </c>
      <c r="B181" t="s">
        <v>441</v>
      </c>
      <c r="C181" s="22">
        <v>4000000</v>
      </c>
      <c r="D181" s="22">
        <v>4000000</v>
      </c>
      <c r="E181" s="22">
        <f t="shared" si="2"/>
        <v>0</v>
      </c>
      <c r="F181" s="14"/>
      <c r="G181" s="6">
        <v>4000000</v>
      </c>
      <c r="H181" s="4"/>
      <c r="Q181" s="22"/>
    </row>
    <row r="182" spans="1:17" ht="15.75" customHeight="1" x14ac:dyDescent="0.25">
      <c r="A182" t="s">
        <v>740</v>
      </c>
      <c r="B182" t="s">
        <v>436</v>
      </c>
      <c r="C182" s="22">
        <v>4000000</v>
      </c>
      <c r="D182" s="22">
        <v>4000000</v>
      </c>
      <c r="E182" s="22">
        <f t="shared" si="2"/>
        <v>0</v>
      </c>
      <c r="F182" s="14"/>
      <c r="G182" s="6">
        <v>4000000</v>
      </c>
      <c r="H182" s="4"/>
      <c r="Q182" s="22"/>
    </row>
    <row r="183" spans="1:17" ht="15.75" customHeight="1" x14ac:dyDescent="0.25">
      <c r="A183" t="s">
        <v>740</v>
      </c>
      <c r="B183" t="s">
        <v>434</v>
      </c>
      <c r="C183" s="22">
        <v>4000000</v>
      </c>
      <c r="D183" s="22">
        <v>4000000</v>
      </c>
      <c r="E183" s="22">
        <f t="shared" si="2"/>
        <v>0</v>
      </c>
      <c r="F183" s="14"/>
      <c r="G183" s="6">
        <v>4000000</v>
      </c>
      <c r="H183" s="4"/>
      <c r="Q183" s="22"/>
    </row>
    <row r="184" spans="1:17" ht="15.75" customHeight="1" x14ac:dyDescent="0.25">
      <c r="A184" t="s">
        <v>740</v>
      </c>
      <c r="B184" t="s">
        <v>730</v>
      </c>
      <c r="C184" s="22">
        <v>4000000</v>
      </c>
      <c r="D184" s="22">
        <v>0</v>
      </c>
      <c r="E184" s="22">
        <v>0</v>
      </c>
      <c r="F184" s="14"/>
      <c r="G184" s="6" t="e">
        <v>#N/A</v>
      </c>
      <c r="H184" s="4"/>
      <c r="Q184" s="22"/>
    </row>
    <row r="185" spans="1:17" ht="15.75" customHeight="1" x14ac:dyDescent="0.25">
      <c r="A185" t="s">
        <v>740</v>
      </c>
      <c r="B185" t="s">
        <v>448</v>
      </c>
      <c r="C185" s="22">
        <v>4000000</v>
      </c>
      <c r="D185" s="22">
        <v>4000000</v>
      </c>
      <c r="E185" s="22">
        <f t="shared" si="2"/>
        <v>0</v>
      </c>
      <c r="F185" s="14"/>
      <c r="G185" s="6">
        <v>4000000</v>
      </c>
      <c r="H185" s="4"/>
      <c r="Q185" s="22"/>
    </row>
    <row r="186" spans="1:17" ht="15.75" customHeight="1" x14ac:dyDescent="0.25">
      <c r="A186" t="s">
        <v>740</v>
      </c>
      <c r="B186" t="s">
        <v>443</v>
      </c>
      <c r="C186" s="22">
        <v>4000000</v>
      </c>
      <c r="D186" s="22">
        <v>4000000</v>
      </c>
      <c r="E186" s="22">
        <f t="shared" si="2"/>
        <v>0</v>
      </c>
      <c r="F186" s="14"/>
      <c r="G186" s="6">
        <v>4000000</v>
      </c>
      <c r="H186" s="4"/>
      <c r="Q186" s="22"/>
    </row>
    <row r="187" spans="1:17" ht="15.75" customHeight="1" x14ac:dyDescent="0.25">
      <c r="A187" t="s">
        <v>740</v>
      </c>
      <c r="B187" t="s">
        <v>454</v>
      </c>
      <c r="C187" s="22">
        <v>4000000</v>
      </c>
      <c r="D187" s="22">
        <v>4000000</v>
      </c>
      <c r="E187" s="22">
        <f t="shared" si="2"/>
        <v>0</v>
      </c>
      <c r="F187" s="14"/>
      <c r="G187" s="6">
        <v>4000000</v>
      </c>
      <c r="H187" s="4"/>
      <c r="Q187" s="22"/>
    </row>
    <row r="188" spans="1:17" ht="15.75" customHeight="1" x14ac:dyDescent="0.25">
      <c r="A188" t="s">
        <v>740</v>
      </c>
      <c r="B188" t="s">
        <v>456</v>
      </c>
      <c r="C188" s="22">
        <v>4000000</v>
      </c>
      <c r="D188" s="22">
        <v>4000000</v>
      </c>
      <c r="E188" s="22">
        <f t="shared" si="2"/>
        <v>0</v>
      </c>
      <c r="F188" s="14"/>
      <c r="G188" s="6">
        <v>4000000</v>
      </c>
      <c r="H188" s="4"/>
      <c r="Q188" s="22"/>
    </row>
    <row r="189" spans="1:17" ht="15.75" customHeight="1" x14ac:dyDescent="0.25">
      <c r="A189" t="s">
        <v>740</v>
      </c>
      <c r="B189" t="s">
        <v>458</v>
      </c>
      <c r="C189" s="22">
        <v>4000000</v>
      </c>
      <c r="D189" s="22">
        <v>4000000</v>
      </c>
      <c r="E189" s="22">
        <f t="shared" si="2"/>
        <v>0</v>
      </c>
      <c r="F189" s="14"/>
      <c r="G189" s="6">
        <v>4000000</v>
      </c>
      <c r="H189" s="4"/>
      <c r="Q189" s="22"/>
    </row>
    <row r="190" spans="1:17" ht="15.75" customHeight="1" x14ac:dyDescent="0.25">
      <c r="A190" t="s">
        <v>740</v>
      </c>
      <c r="B190" t="s">
        <v>460</v>
      </c>
      <c r="C190" s="22">
        <v>4000000</v>
      </c>
      <c r="D190" s="22">
        <v>4000000</v>
      </c>
      <c r="E190" s="22">
        <f t="shared" si="2"/>
        <v>0</v>
      </c>
      <c r="F190" s="14"/>
      <c r="G190" s="6">
        <v>4000000</v>
      </c>
      <c r="H190" s="4"/>
      <c r="Q190" s="22"/>
    </row>
    <row r="191" spans="1:17" ht="15.75" customHeight="1" x14ac:dyDescent="0.25">
      <c r="A191" t="s">
        <v>740</v>
      </c>
      <c r="B191" t="s">
        <v>732</v>
      </c>
      <c r="C191" s="22">
        <v>4000000</v>
      </c>
      <c r="D191" s="22">
        <v>0</v>
      </c>
      <c r="E191" s="22">
        <v>0</v>
      </c>
      <c r="F191" s="14"/>
      <c r="G191" s="6" t="e">
        <v>#N/A</v>
      </c>
      <c r="H191" s="4"/>
      <c r="Q191" s="22"/>
    </row>
    <row r="192" spans="1:17" ht="15.75" customHeight="1" x14ac:dyDescent="0.25">
      <c r="A192" t="s">
        <v>740</v>
      </c>
      <c r="B192" t="s">
        <v>474</v>
      </c>
      <c r="C192" s="22">
        <v>4000000</v>
      </c>
      <c r="D192" s="22">
        <v>4000000</v>
      </c>
      <c r="E192" s="22">
        <f t="shared" si="2"/>
        <v>0</v>
      </c>
      <c r="F192" s="14"/>
      <c r="G192" s="6">
        <v>4000000</v>
      </c>
      <c r="H192" s="4"/>
      <c r="Q192" s="22"/>
    </row>
    <row r="193" spans="1:17" ht="15.75" customHeight="1" x14ac:dyDescent="0.25">
      <c r="A193" t="s">
        <v>740</v>
      </c>
      <c r="B193" t="s">
        <v>465</v>
      </c>
      <c r="C193" s="22">
        <v>4000000</v>
      </c>
      <c r="D193" s="22">
        <v>4000000</v>
      </c>
      <c r="E193" s="22">
        <f t="shared" si="2"/>
        <v>0</v>
      </c>
      <c r="F193" s="14"/>
      <c r="G193" s="6">
        <v>4000000</v>
      </c>
      <c r="H193" s="4"/>
      <c r="Q193" s="22"/>
    </row>
    <row r="194" spans="1:17" ht="15.75" customHeight="1" x14ac:dyDescent="0.25">
      <c r="A194" t="s">
        <v>740</v>
      </c>
      <c r="B194" t="s">
        <v>467</v>
      </c>
      <c r="C194" s="22">
        <v>4000000</v>
      </c>
      <c r="D194" s="22">
        <v>4000000</v>
      </c>
      <c r="E194" s="22">
        <f t="shared" si="2"/>
        <v>0</v>
      </c>
      <c r="F194" s="14"/>
      <c r="G194" s="6">
        <v>4000000</v>
      </c>
      <c r="H194" s="4"/>
      <c r="Q194" s="22"/>
    </row>
    <row r="195" spans="1:17" ht="15.75" customHeight="1" x14ac:dyDescent="0.25">
      <c r="A195" t="s">
        <v>740</v>
      </c>
      <c r="B195" t="s">
        <v>471</v>
      </c>
      <c r="C195" s="22">
        <v>4000000</v>
      </c>
      <c r="D195" s="22">
        <v>4000000</v>
      </c>
      <c r="E195" s="22">
        <f t="shared" ref="E195:E224" si="3">C195-D195</f>
        <v>0</v>
      </c>
      <c r="F195" s="14"/>
      <c r="G195" s="6">
        <v>4000000</v>
      </c>
      <c r="H195" s="4"/>
      <c r="Q195" s="22"/>
    </row>
    <row r="196" spans="1:17" ht="15.75" customHeight="1" x14ac:dyDescent="0.25">
      <c r="A196" t="s">
        <v>740</v>
      </c>
      <c r="B196" t="s">
        <v>731</v>
      </c>
      <c r="C196" s="22">
        <v>4000000</v>
      </c>
      <c r="D196" s="22">
        <v>0</v>
      </c>
      <c r="E196" s="22">
        <v>0</v>
      </c>
      <c r="F196" s="14"/>
      <c r="G196" s="6" t="e">
        <v>#N/A</v>
      </c>
      <c r="H196" s="4"/>
      <c r="Q196" s="22"/>
    </row>
    <row r="197" spans="1:17" ht="15.75" customHeight="1" x14ac:dyDescent="0.25">
      <c r="A197" t="s">
        <v>740</v>
      </c>
      <c r="B197" t="s">
        <v>480</v>
      </c>
      <c r="C197" s="22">
        <v>4000000</v>
      </c>
      <c r="D197" s="22">
        <v>4000000</v>
      </c>
      <c r="E197" s="22">
        <f t="shared" si="3"/>
        <v>0</v>
      </c>
      <c r="F197" s="14"/>
      <c r="G197" s="6">
        <v>4000000</v>
      </c>
      <c r="H197" s="4"/>
      <c r="Q197" s="22"/>
    </row>
    <row r="198" spans="1:17" ht="15.75" customHeight="1" x14ac:dyDescent="0.25">
      <c r="A198" t="s">
        <v>740</v>
      </c>
      <c r="B198" t="s">
        <v>476</v>
      </c>
      <c r="C198" s="22">
        <v>4000000</v>
      </c>
      <c r="D198" s="22">
        <v>4000000</v>
      </c>
      <c r="E198" s="22">
        <f t="shared" si="3"/>
        <v>0</v>
      </c>
      <c r="F198" s="14"/>
      <c r="G198" s="6">
        <v>4000000</v>
      </c>
      <c r="H198" s="4"/>
      <c r="Q198" s="22"/>
    </row>
    <row r="199" spans="1:17" ht="15.75" customHeight="1" x14ac:dyDescent="0.25">
      <c r="A199" t="s">
        <v>740</v>
      </c>
      <c r="B199" t="s">
        <v>478</v>
      </c>
      <c r="C199" s="22">
        <v>4000000</v>
      </c>
      <c r="D199" s="22">
        <v>4000000</v>
      </c>
      <c r="E199" s="22">
        <f t="shared" si="3"/>
        <v>0</v>
      </c>
      <c r="F199" s="14"/>
      <c r="G199" s="6">
        <v>4000000</v>
      </c>
      <c r="H199" s="4"/>
      <c r="Q199" s="22"/>
    </row>
    <row r="200" spans="1:17" ht="15.75" customHeight="1" x14ac:dyDescent="0.25">
      <c r="A200" t="s">
        <v>740</v>
      </c>
      <c r="B200" t="s">
        <v>487</v>
      </c>
      <c r="C200" s="22">
        <v>4000000</v>
      </c>
      <c r="D200" s="22">
        <v>4000000</v>
      </c>
      <c r="E200" s="22">
        <f t="shared" si="3"/>
        <v>0</v>
      </c>
      <c r="F200" s="14"/>
      <c r="G200" s="6">
        <v>4000000</v>
      </c>
      <c r="H200" s="4"/>
      <c r="Q200" s="22"/>
    </row>
    <row r="201" spans="1:17" ht="15.75" customHeight="1" x14ac:dyDescent="0.25">
      <c r="A201" t="s">
        <v>740</v>
      </c>
      <c r="B201" t="s">
        <v>489</v>
      </c>
      <c r="C201" s="22">
        <v>4000000</v>
      </c>
      <c r="D201" s="22">
        <v>4000000</v>
      </c>
      <c r="E201" s="22">
        <f t="shared" si="3"/>
        <v>0</v>
      </c>
      <c r="F201" s="14"/>
      <c r="G201" s="6">
        <v>4000000</v>
      </c>
      <c r="H201" s="4"/>
      <c r="Q201" s="22"/>
    </row>
    <row r="202" spans="1:17" ht="15.75" customHeight="1" x14ac:dyDescent="0.25">
      <c r="A202" t="s">
        <v>740</v>
      </c>
      <c r="B202" t="s">
        <v>482</v>
      </c>
      <c r="C202" s="22">
        <v>4000000</v>
      </c>
      <c r="D202" s="22">
        <v>4000000</v>
      </c>
      <c r="E202" s="22">
        <f t="shared" si="3"/>
        <v>0</v>
      </c>
      <c r="F202" s="14"/>
      <c r="G202" s="6">
        <v>4000000</v>
      </c>
      <c r="H202" s="4"/>
      <c r="Q202" s="22"/>
    </row>
    <row r="203" spans="1:17" ht="15.75" customHeight="1" x14ac:dyDescent="0.25">
      <c r="A203" t="s">
        <v>740</v>
      </c>
      <c r="B203" t="s">
        <v>485</v>
      </c>
      <c r="C203" s="22">
        <v>4000000</v>
      </c>
      <c r="D203" s="22">
        <v>4000000</v>
      </c>
      <c r="E203" s="22">
        <f t="shared" si="3"/>
        <v>0</v>
      </c>
      <c r="F203" s="14"/>
      <c r="G203" s="6">
        <v>4000000</v>
      </c>
      <c r="H203" s="4"/>
      <c r="Q203" s="22"/>
    </row>
    <row r="204" spans="1:17" ht="15.75" customHeight="1" x14ac:dyDescent="0.25">
      <c r="A204" t="s">
        <v>740</v>
      </c>
      <c r="B204" t="s">
        <v>469</v>
      </c>
      <c r="C204" s="22">
        <v>4000000</v>
      </c>
      <c r="D204" s="22">
        <v>4000000</v>
      </c>
      <c r="E204" s="22">
        <f t="shared" si="3"/>
        <v>0</v>
      </c>
      <c r="F204" s="14"/>
      <c r="G204" s="6">
        <v>4000000</v>
      </c>
      <c r="H204" s="4"/>
      <c r="Q204" s="22"/>
    </row>
    <row r="205" spans="1:17" ht="15.75" customHeight="1" x14ac:dyDescent="0.25">
      <c r="A205" t="s">
        <v>740</v>
      </c>
      <c r="B205" t="s">
        <v>463</v>
      </c>
      <c r="C205" s="22">
        <v>4000000</v>
      </c>
      <c r="D205" s="22">
        <v>4000000</v>
      </c>
      <c r="E205" s="22">
        <f t="shared" si="3"/>
        <v>0</v>
      </c>
      <c r="F205" s="14"/>
      <c r="G205" s="6">
        <v>4000000</v>
      </c>
      <c r="H205" s="4"/>
      <c r="Q205" s="22"/>
    </row>
    <row r="206" spans="1:17" ht="15.75" customHeight="1" x14ac:dyDescent="0.25">
      <c r="A206" t="s">
        <v>740</v>
      </c>
      <c r="B206" t="s">
        <v>491</v>
      </c>
      <c r="C206" s="22">
        <v>2000000</v>
      </c>
      <c r="D206" s="22">
        <v>2000000</v>
      </c>
      <c r="E206" s="22">
        <f t="shared" si="3"/>
        <v>0</v>
      </c>
      <c r="F206" s="14"/>
      <c r="G206" s="6">
        <v>2000000</v>
      </c>
      <c r="H206" s="4"/>
      <c r="Q206" s="22"/>
    </row>
    <row r="207" spans="1:17" ht="15.75" customHeight="1" x14ac:dyDescent="0.25">
      <c r="A207" t="s">
        <v>740</v>
      </c>
      <c r="B207" t="s">
        <v>493</v>
      </c>
      <c r="C207" s="22">
        <v>7500000</v>
      </c>
      <c r="D207" s="22">
        <v>7500000</v>
      </c>
      <c r="E207" s="22">
        <f t="shared" si="3"/>
        <v>0</v>
      </c>
      <c r="F207" s="14"/>
      <c r="G207" s="6">
        <v>7500000</v>
      </c>
      <c r="H207" s="4"/>
      <c r="Q207" s="22"/>
    </row>
    <row r="208" spans="1:17" ht="15.75" customHeight="1" x14ac:dyDescent="0.25">
      <c r="A208" t="s">
        <v>740</v>
      </c>
      <c r="B208" t="s">
        <v>499</v>
      </c>
      <c r="C208" s="22">
        <v>2000000</v>
      </c>
      <c r="D208" s="22">
        <v>2000000</v>
      </c>
      <c r="E208" s="22">
        <f t="shared" si="3"/>
        <v>0</v>
      </c>
      <c r="F208" s="14"/>
      <c r="G208" s="6">
        <v>2000000</v>
      </c>
      <c r="H208" s="4"/>
      <c r="Q208" s="22"/>
    </row>
    <row r="209" spans="1:17" ht="15.75" customHeight="1" x14ac:dyDescent="0.25">
      <c r="A209" t="s">
        <v>740</v>
      </c>
      <c r="B209" t="s">
        <v>502</v>
      </c>
      <c r="C209" s="22">
        <v>6000000</v>
      </c>
      <c r="D209" s="22">
        <v>6000000</v>
      </c>
      <c r="E209" s="22">
        <f t="shared" si="3"/>
        <v>0</v>
      </c>
      <c r="F209" s="14"/>
      <c r="G209" s="6">
        <v>6000000</v>
      </c>
      <c r="H209" s="4"/>
      <c r="Q209" s="22"/>
    </row>
    <row r="210" spans="1:17" ht="15.75" customHeight="1" x14ac:dyDescent="0.25">
      <c r="A210" t="s">
        <v>740</v>
      </c>
      <c r="B210" t="s">
        <v>506</v>
      </c>
      <c r="C210" s="22">
        <v>2000000</v>
      </c>
      <c r="D210" s="22">
        <v>2000000</v>
      </c>
      <c r="E210" s="22">
        <f t="shared" si="3"/>
        <v>0</v>
      </c>
      <c r="F210" s="14"/>
      <c r="G210" s="6">
        <v>2000000</v>
      </c>
      <c r="H210" s="4"/>
      <c r="Q210" s="22"/>
    </row>
    <row r="211" spans="1:17" ht="15.75" customHeight="1" x14ac:dyDescent="0.25">
      <c r="A211" t="s">
        <v>740</v>
      </c>
      <c r="B211" t="s">
        <v>504</v>
      </c>
      <c r="C211" s="22">
        <v>6000000</v>
      </c>
      <c r="D211" s="22">
        <v>6000000</v>
      </c>
      <c r="E211" s="22">
        <f t="shared" si="3"/>
        <v>0</v>
      </c>
      <c r="F211" s="14"/>
      <c r="G211" s="6">
        <v>6000000</v>
      </c>
      <c r="H211" s="4"/>
      <c r="Q211" s="22"/>
    </row>
    <row r="212" spans="1:17" ht="15.75" customHeight="1" x14ac:dyDescent="0.25">
      <c r="A212" t="s">
        <v>740</v>
      </c>
      <c r="B212" t="s">
        <v>513</v>
      </c>
      <c r="C212" s="22">
        <v>7500000</v>
      </c>
      <c r="D212" s="22">
        <v>7500000</v>
      </c>
      <c r="E212" s="22">
        <f t="shared" si="3"/>
        <v>0</v>
      </c>
      <c r="F212" s="14"/>
      <c r="G212" s="6">
        <v>7500000</v>
      </c>
      <c r="H212" s="4"/>
      <c r="Q212" s="22"/>
    </row>
    <row r="213" spans="1:17" ht="15.75" customHeight="1" x14ac:dyDescent="0.25">
      <c r="A213" t="s">
        <v>740</v>
      </c>
      <c r="B213" t="s">
        <v>495</v>
      </c>
      <c r="C213" s="22">
        <v>2000000</v>
      </c>
      <c r="D213" s="22">
        <v>2000000</v>
      </c>
      <c r="E213" s="22">
        <f t="shared" si="3"/>
        <v>0</v>
      </c>
      <c r="F213" s="14"/>
      <c r="G213" s="6">
        <v>2000000</v>
      </c>
      <c r="H213" s="4"/>
      <c r="Q213" s="22"/>
    </row>
    <row r="214" spans="1:17" ht="15.75" customHeight="1" x14ac:dyDescent="0.25">
      <c r="A214" t="s">
        <v>740</v>
      </c>
      <c r="B214" t="s">
        <v>508</v>
      </c>
      <c r="C214" s="22">
        <v>2000000</v>
      </c>
      <c r="D214" s="22">
        <v>2000000</v>
      </c>
      <c r="E214" s="22">
        <f t="shared" si="3"/>
        <v>0</v>
      </c>
      <c r="F214" s="14"/>
      <c r="G214" s="6">
        <v>2000000</v>
      </c>
      <c r="H214" s="4"/>
      <c r="Q214" s="22"/>
    </row>
    <row r="215" spans="1:17" ht="15.75" customHeight="1" x14ac:dyDescent="0.25">
      <c r="A215" t="s">
        <v>740</v>
      </c>
      <c r="B215" t="s">
        <v>207</v>
      </c>
      <c r="C215" s="22">
        <v>14476800</v>
      </c>
      <c r="D215" s="22">
        <v>14476800</v>
      </c>
      <c r="E215" s="22">
        <f t="shared" si="3"/>
        <v>0</v>
      </c>
      <c r="F215" s="14"/>
      <c r="G215" s="6">
        <v>14476800</v>
      </c>
      <c r="H215" s="4"/>
      <c r="Q215" s="22"/>
    </row>
    <row r="216" spans="1:17" ht="15.75" customHeight="1" x14ac:dyDescent="0.25">
      <c r="A216" t="s">
        <v>740</v>
      </c>
      <c r="B216" t="s">
        <v>52</v>
      </c>
      <c r="C216" s="22">
        <v>8000000</v>
      </c>
      <c r="D216" s="22">
        <v>2000000</v>
      </c>
      <c r="E216" s="22">
        <f t="shared" si="3"/>
        <v>6000000</v>
      </c>
      <c r="F216" s="14"/>
      <c r="G216" s="6">
        <v>2000000</v>
      </c>
      <c r="H216" s="4"/>
      <c r="Q216" s="22"/>
    </row>
    <row r="217" spans="1:17" ht="15.75" customHeight="1" x14ac:dyDescent="0.25">
      <c r="A217" t="s">
        <v>740</v>
      </c>
      <c r="B217" t="s">
        <v>725</v>
      </c>
      <c r="C217" s="22">
        <v>8000000</v>
      </c>
      <c r="D217" s="22">
        <v>0</v>
      </c>
      <c r="E217" s="22">
        <v>0</v>
      </c>
      <c r="F217" s="14"/>
      <c r="G217" s="6" t="e">
        <v>#N/A</v>
      </c>
      <c r="H217" s="4"/>
      <c r="Q217" s="22"/>
    </row>
    <row r="218" spans="1:17" ht="15.75" customHeight="1" x14ac:dyDescent="0.25">
      <c r="A218" t="s">
        <v>740</v>
      </c>
      <c r="B218" t="s">
        <v>27</v>
      </c>
      <c r="C218" s="22">
        <v>30000000</v>
      </c>
      <c r="D218" s="22">
        <v>30000000</v>
      </c>
      <c r="E218" s="22">
        <f t="shared" si="3"/>
        <v>0</v>
      </c>
      <c r="F218" s="14"/>
      <c r="G218" s="6">
        <v>30000000</v>
      </c>
      <c r="H218" s="4"/>
      <c r="Q218" s="22"/>
    </row>
    <row r="219" spans="1:17" ht="15.75" customHeight="1" x14ac:dyDescent="0.25">
      <c r="A219" t="s">
        <v>740</v>
      </c>
      <c r="B219" t="s">
        <v>707</v>
      </c>
      <c r="C219" s="22">
        <v>18000000</v>
      </c>
      <c r="D219" s="22">
        <v>2600000</v>
      </c>
      <c r="E219" s="22">
        <f t="shared" si="3"/>
        <v>15400000</v>
      </c>
      <c r="F219" s="14"/>
      <c r="G219" s="6">
        <v>2600000</v>
      </c>
      <c r="H219" s="4"/>
      <c r="Q219" s="22"/>
    </row>
    <row r="220" spans="1:17" ht="15.75" customHeight="1" x14ac:dyDescent="0.25">
      <c r="A220" t="s">
        <v>740</v>
      </c>
      <c r="B220" t="s">
        <v>322</v>
      </c>
      <c r="C220" s="22">
        <v>6000000</v>
      </c>
      <c r="D220" s="22">
        <v>6000000</v>
      </c>
      <c r="E220" s="22">
        <f t="shared" si="3"/>
        <v>0</v>
      </c>
      <c r="F220" s="14"/>
      <c r="G220" s="6">
        <v>6000000</v>
      </c>
      <c r="H220" s="4"/>
      <c r="Q220" s="22"/>
    </row>
    <row r="221" spans="1:17" ht="15.75" customHeight="1" x14ac:dyDescent="0.25">
      <c r="A221" t="s">
        <v>740</v>
      </c>
      <c r="B221" t="s">
        <v>13</v>
      </c>
      <c r="C221" s="22">
        <v>260000000</v>
      </c>
      <c r="D221" s="22">
        <v>373914100</v>
      </c>
      <c r="E221" s="22">
        <f t="shared" si="3"/>
        <v>-113914100</v>
      </c>
      <c r="F221" s="14"/>
      <c r="G221" s="6">
        <v>373914100</v>
      </c>
      <c r="H221" s="4"/>
      <c r="Q221" s="22"/>
    </row>
    <row r="222" spans="1:17" ht="15.75" customHeight="1" x14ac:dyDescent="0.25">
      <c r="A222" t="s">
        <v>740</v>
      </c>
      <c r="B222" t="s">
        <v>624</v>
      </c>
      <c r="C222" s="22">
        <v>128681402</v>
      </c>
      <c r="D222" s="22">
        <v>125428367</v>
      </c>
      <c r="E222" s="22">
        <f t="shared" si="3"/>
        <v>3253035</v>
      </c>
      <c r="F222" s="14"/>
      <c r="G222" s="6">
        <v>125428367</v>
      </c>
      <c r="H222" s="4"/>
      <c r="Q222" s="22"/>
    </row>
    <row r="223" spans="1:17" ht="15.75" customHeight="1" x14ac:dyDescent="0.25">
      <c r="A223" t="s">
        <v>740</v>
      </c>
      <c r="B223" t="s">
        <v>98</v>
      </c>
      <c r="C223" s="22">
        <v>193587004</v>
      </c>
      <c r="D223" s="22">
        <v>257341657</v>
      </c>
      <c r="E223" s="22">
        <f t="shared" si="3"/>
        <v>-63754653</v>
      </c>
      <c r="F223" s="14"/>
      <c r="G223" s="6">
        <v>257341657</v>
      </c>
      <c r="H223" s="4"/>
      <c r="Q223" s="22"/>
    </row>
    <row r="224" spans="1:17" ht="15.75" customHeight="1" x14ac:dyDescent="0.25">
      <c r="A224" t="s">
        <v>740</v>
      </c>
      <c r="B224" t="s">
        <v>407</v>
      </c>
      <c r="C224" s="22">
        <v>25496760</v>
      </c>
      <c r="D224" s="22">
        <v>24264774</v>
      </c>
      <c r="E224" s="22">
        <f t="shared" si="3"/>
        <v>1231986</v>
      </c>
      <c r="F224" s="14"/>
      <c r="G224" s="6">
        <v>24264774</v>
      </c>
      <c r="H224" s="4"/>
      <c r="Q224" s="22"/>
    </row>
    <row r="225" spans="3:17" ht="15.75" customHeight="1" x14ac:dyDescent="0.25">
      <c r="F225" s="14"/>
      <c r="G225" s="6"/>
      <c r="H225" s="4"/>
      <c r="Q225" s="22"/>
    </row>
    <row r="226" spans="3:17" ht="15.75" customHeight="1" x14ac:dyDescent="0.25">
      <c r="C226" s="23"/>
      <c r="D226" s="23"/>
      <c r="E226" s="23"/>
      <c r="F226" s="14"/>
      <c r="G226" s="6"/>
      <c r="H226" s="4"/>
      <c r="L226" s="14"/>
      <c r="Q226" s="22"/>
    </row>
    <row r="227" spans="3:17" ht="15.75" customHeight="1" x14ac:dyDescent="0.25">
      <c r="F227" s="14"/>
      <c r="G227" s="6"/>
      <c r="H227" s="4"/>
      <c r="Q227" s="22"/>
    </row>
    <row r="228" spans="3:17" ht="15.75" customHeight="1" x14ac:dyDescent="0.25">
      <c r="F228" s="14"/>
      <c r="G228" s="6"/>
      <c r="H228" s="4"/>
      <c r="Q228" s="22"/>
    </row>
    <row r="229" spans="3:17" ht="15.75" customHeight="1" x14ac:dyDescent="0.25">
      <c r="F229" s="14"/>
      <c r="G229" s="6"/>
      <c r="H229" s="4"/>
      <c r="Q229" s="22"/>
    </row>
    <row r="230" spans="3:17" ht="15.75" customHeight="1" x14ac:dyDescent="0.25">
      <c r="F230" s="14"/>
      <c r="G230" s="6"/>
      <c r="H230" s="4"/>
      <c r="Q230" s="22"/>
    </row>
    <row r="231" spans="3:17" ht="15.75" customHeight="1" x14ac:dyDescent="0.25">
      <c r="F231" s="14"/>
      <c r="G231" s="6"/>
      <c r="H231" s="4"/>
      <c r="Q231" s="22"/>
    </row>
    <row r="232" spans="3:17" ht="15.75" customHeight="1" x14ac:dyDescent="0.25">
      <c r="F232" s="14"/>
      <c r="G232" s="6"/>
      <c r="H232" s="4"/>
      <c r="Q232" s="22"/>
    </row>
    <row r="233" spans="3:17" ht="15.75" customHeight="1" x14ac:dyDescent="0.25">
      <c r="F233" s="14"/>
      <c r="G233" s="6"/>
      <c r="H233" s="4"/>
      <c r="Q233" s="22"/>
    </row>
    <row r="234" spans="3:17" ht="15.75" customHeight="1" x14ac:dyDescent="0.25">
      <c r="F234" s="14"/>
      <c r="G234" s="6"/>
      <c r="H234" s="4"/>
      <c r="Q234" s="22"/>
    </row>
    <row r="235" spans="3:17" ht="15.75" customHeight="1" x14ac:dyDescent="0.25">
      <c r="F235" s="14"/>
      <c r="G235" s="6"/>
      <c r="H235" s="4"/>
      <c r="Q235" s="22"/>
    </row>
    <row r="236" spans="3:17" ht="15.75" customHeight="1" x14ac:dyDescent="0.25">
      <c r="F236" s="14"/>
      <c r="G236" s="6"/>
      <c r="H236" s="4"/>
      <c r="Q236" s="22"/>
    </row>
    <row r="237" spans="3:17" ht="15.75" customHeight="1" x14ac:dyDescent="0.25">
      <c r="F237" s="14"/>
      <c r="G237" s="6"/>
      <c r="H237" s="4"/>
      <c r="Q237" s="22"/>
    </row>
    <row r="238" spans="3:17" ht="15.75" customHeight="1" x14ac:dyDescent="0.25">
      <c r="F238" s="14"/>
      <c r="G238" s="6"/>
      <c r="H238" s="4"/>
      <c r="Q238" s="22"/>
    </row>
    <row r="239" spans="3:17" ht="15.75" customHeight="1" x14ac:dyDescent="0.25">
      <c r="F239" s="14"/>
      <c r="G239" s="6"/>
      <c r="H239" s="4"/>
      <c r="Q239" s="22"/>
    </row>
    <row r="240" spans="3:17" ht="15.75" customHeight="1" x14ac:dyDescent="0.25">
      <c r="F240" s="14"/>
      <c r="G240" s="6"/>
      <c r="H240" s="4"/>
      <c r="Q240" s="22"/>
    </row>
    <row r="241" spans="2:17" ht="15.75" customHeight="1" x14ac:dyDescent="0.25">
      <c r="F241" s="14"/>
      <c r="G241" s="6"/>
      <c r="H241" s="4"/>
      <c r="Q241" s="22"/>
    </row>
    <row r="242" spans="2:17" ht="15.75" customHeight="1" x14ac:dyDescent="0.25">
      <c r="F242" s="14"/>
      <c r="G242" s="6"/>
      <c r="H242" s="4"/>
      <c r="Q242" s="22"/>
    </row>
    <row r="243" spans="2:17" ht="15.75" customHeight="1" x14ac:dyDescent="0.25">
      <c r="F243" s="14"/>
      <c r="G243" s="6"/>
      <c r="H243" s="4"/>
      <c r="Q243" s="22"/>
    </row>
    <row r="244" spans="2:17" ht="15.75" customHeight="1" x14ac:dyDescent="0.25">
      <c r="F244" s="14"/>
      <c r="G244" s="6"/>
      <c r="H244" s="4"/>
      <c r="Q244" s="22"/>
    </row>
    <row r="245" spans="2:17" ht="15.75" customHeight="1" x14ac:dyDescent="0.25">
      <c r="F245" s="14"/>
      <c r="G245" s="6"/>
      <c r="H245" s="4"/>
      <c r="Q245" s="22"/>
    </row>
    <row r="246" spans="2:17" ht="15.75" customHeight="1" x14ac:dyDescent="0.25">
      <c r="F246" s="14"/>
      <c r="G246" s="6"/>
      <c r="H246" s="4"/>
      <c r="Q246" s="22"/>
    </row>
    <row r="247" spans="2:17" ht="15.75" customHeight="1" x14ac:dyDescent="0.25">
      <c r="F247" s="14"/>
      <c r="G247" s="6"/>
      <c r="H247" s="4"/>
      <c r="Q247" s="22"/>
    </row>
    <row r="248" spans="2:17" s="18" customFormat="1" ht="15.75" customHeight="1" x14ac:dyDescent="0.25">
      <c r="B248"/>
      <c r="C248" s="23"/>
      <c r="D248" s="23"/>
      <c r="E248" s="23"/>
      <c r="F248" s="15"/>
      <c r="G248" s="26"/>
      <c r="H248" s="20"/>
      <c r="I248" s="15"/>
      <c r="J248" s="15"/>
      <c r="L248" s="19"/>
      <c r="N248" s="19"/>
      <c r="O248" s="19"/>
      <c r="P248" s="23"/>
      <c r="Q248" s="22"/>
    </row>
    <row r="249" spans="2:17" ht="15.75" customHeight="1" x14ac:dyDescent="0.25">
      <c r="F249" s="14"/>
      <c r="G249" s="6"/>
      <c r="H249" s="4"/>
      <c r="Q249" s="22"/>
    </row>
    <row r="250" spans="2:17" ht="15.75" customHeight="1" x14ac:dyDescent="0.25">
      <c r="F250" s="14"/>
      <c r="G250" s="6"/>
      <c r="H250" s="4"/>
      <c r="Q250" s="22"/>
    </row>
    <row r="251" spans="2:17" s="18" customFormat="1" ht="15.75" customHeight="1" x14ac:dyDescent="0.25">
      <c r="B251"/>
      <c r="C251" s="23"/>
      <c r="D251" s="23"/>
      <c r="E251" s="23"/>
      <c r="F251" s="15"/>
      <c r="G251" s="26"/>
      <c r="H251" s="4"/>
      <c r="I251" s="15"/>
      <c r="J251" s="15"/>
      <c r="L251" s="19"/>
      <c r="M251"/>
      <c r="N251" s="19"/>
      <c r="P251" s="23"/>
      <c r="Q251" s="22"/>
    </row>
    <row r="252" spans="2:17" ht="15.75" customHeight="1" x14ac:dyDescent="0.25">
      <c r="F252" s="14"/>
      <c r="G252" s="6"/>
      <c r="H252" s="4"/>
      <c r="Q252" s="22"/>
    </row>
    <row r="253" spans="2:17" ht="15.75" customHeight="1" x14ac:dyDescent="0.25">
      <c r="F253" s="14"/>
      <c r="G253" s="6"/>
      <c r="H253" s="4"/>
      <c r="Q253" s="22"/>
    </row>
    <row r="254" spans="2:17" ht="15.75" customHeight="1" x14ac:dyDescent="0.25">
      <c r="F254" s="14"/>
      <c r="G254" s="6"/>
      <c r="H254" s="4"/>
      <c r="Q254" s="22"/>
    </row>
    <row r="255" spans="2:17" ht="15.75" customHeight="1" x14ac:dyDescent="0.25">
      <c r="F255" s="14"/>
      <c r="G255" s="6"/>
      <c r="H255" s="4"/>
      <c r="Q255" s="22"/>
    </row>
    <row r="256" spans="2:17" ht="15.75" customHeight="1" x14ac:dyDescent="0.25">
      <c r="F256" s="14"/>
      <c r="G256" s="6"/>
      <c r="H256" s="4"/>
      <c r="Q256" s="22"/>
    </row>
    <row r="257" spans="6:17" ht="15.75" customHeight="1" x14ac:dyDescent="0.25">
      <c r="F257" s="14"/>
      <c r="G257" s="6"/>
      <c r="H257" s="4"/>
      <c r="Q257" s="22"/>
    </row>
    <row r="258" spans="6:17" ht="15.75" customHeight="1" x14ac:dyDescent="0.25">
      <c r="F258" s="14"/>
      <c r="G258" s="6"/>
      <c r="H258" s="4"/>
      <c r="Q258" s="22"/>
    </row>
    <row r="259" spans="6:17" ht="15.75" customHeight="1" x14ac:dyDescent="0.25">
      <c r="F259" s="14"/>
      <c r="G259" s="6"/>
      <c r="H259" s="4"/>
      <c r="Q259" s="22"/>
    </row>
    <row r="260" spans="6:17" ht="15.75" customHeight="1" x14ac:dyDescent="0.25">
      <c r="F260" s="14"/>
      <c r="G260" s="6"/>
      <c r="H260" s="4"/>
      <c r="Q260" s="22"/>
    </row>
    <row r="261" spans="6:17" ht="15.75" customHeight="1" x14ac:dyDescent="0.25">
      <c r="F261" s="14"/>
      <c r="G261" s="6"/>
      <c r="H261" s="4"/>
      <c r="Q261" s="22"/>
    </row>
    <row r="262" spans="6:17" ht="15.75" customHeight="1" x14ac:dyDescent="0.25">
      <c r="F262" s="14"/>
      <c r="G262" s="6"/>
      <c r="H262" s="4"/>
      <c r="Q262" s="22"/>
    </row>
    <row r="263" spans="6:17" ht="15.75" customHeight="1" x14ac:dyDescent="0.25">
      <c r="F263" s="14"/>
      <c r="G263" s="6"/>
      <c r="H263" s="4"/>
      <c r="Q263" s="22"/>
    </row>
    <row r="264" spans="6:17" ht="15.75" customHeight="1" x14ac:dyDescent="0.25">
      <c r="F264" s="14"/>
      <c r="G264" s="6"/>
      <c r="H264" s="4"/>
      <c r="Q264" s="22"/>
    </row>
    <row r="265" spans="6:17" ht="15.75" customHeight="1" x14ac:dyDescent="0.25">
      <c r="F265" s="14"/>
      <c r="G265" s="6"/>
      <c r="H265" s="4"/>
      <c r="Q265" s="22"/>
    </row>
    <row r="266" spans="6:17" ht="15.75" customHeight="1" x14ac:dyDescent="0.25">
      <c r="F266" s="14"/>
      <c r="G266" s="6"/>
      <c r="H266" s="4"/>
      <c r="Q266" s="22"/>
    </row>
    <row r="267" spans="6:17" ht="15.75" customHeight="1" x14ac:dyDescent="0.25">
      <c r="F267" s="14"/>
      <c r="G267" s="6"/>
      <c r="H267" s="4"/>
      <c r="Q267" s="22"/>
    </row>
    <row r="268" spans="6:17" ht="15.75" customHeight="1" x14ac:dyDescent="0.25">
      <c r="F268" s="14"/>
      <c r="G268" s="6"/>
      <c r="H268" s="4"/>
      <c r="Q268" s="22"/>
    </row>
    <row r="269" spans="6:17" ht="15.75" customHeight="1" x14ac:dyDescent="0.25">
      <c r="F269" s="14"/>
      <c r="G269" s="6"/>
      <c r="H269" s="4"/>
      <c r="Q269" s="22"/>
    </row>
    <row r="270" spans="6:17" ht="15.75" customHeight="1" x14ac:dyDescent="0.25">
      <c r="F270" s="14"/>
      <c r="G270" s="6"/>
      <c r="H270" s="4"/>
      <c r="Q270" s="22"/>
    </row>
    <row r="271" spans="6:17" ht="15.75" customHeight="1" x14ac:dyDescent="0.25">
      <c r="F271" s="14"/>
      <c r="G271" s="6"/>
      <c r="H271" s="4"/>
      <c r="Q271" s="22"/>
    </row>
    <row r="272" spans="6:17" ht="15.75" customHeight="1" x14ac:dyDescent="0.25">
      <c r="F272" s="14"/>
      <c r="G272" s="6"/>
      <c r="H272" s="4"/>
      <c r="Q272" s="22"/>
    </row>
    <row r="273" spans="6:17" ht="15.75" customHeight="1" x14ac:dyDescent="0.25">
      <c r="F273" s="14"/>
      <c r="G273" s="6"/>
      <c r="H273" s="4"/>
      <c r="Q273" s="22"/>
    </row>
    <row r="274" spans="6:17" ht="15.75" customHeight="1" x14ac:dyDescent="0.25">
      <c r="F274" s="14"/>
      <c r="G274" s="6"/>
      <c r="H274" s="4"/>
      <c r="K274" s="14"/>
      <c r="Q274" s="22"/>
    </row>
    <row r="275" spans="6:17" ht="15.75" customHeight="1" x14ac:dyDescent="0.25">
      <c r="F275" s="14"/>
      <c r="G275" s="6"/>
      <c r="H275" s="4"/>
      <c r="Q275" s="22"/>
    </row>
    <row r="276" spans="6:17" ht="15.75" customHeight="1" x14ac:dyDescent="0.25">
      <c r="F276" s="14"/>
      <c r="G276" s="6"/>
      <c r="H276" s="4"/>
      <c r="Q276" s="22"/>
    </row>
    <row r="277" spans="6:17" ht="15.75" customHeight="1" x14ac:dyDescent="0.25">
      <c r="F277" s="14"/>
      <c r="G277" s="6"/>
      <c r="H277" s="4"/>
      <c r="Q277" s="22"/>
    </row>
    <row r="278" spans="6:17" ht="15.75" customHeight="1" x14ac:dyDescent="0.25">
      <c r="F278" s="14"/>
      <c r="G278" s="6"/>
      <c r="H278" s="4"/>
      <c r="Q278" s="22"/>
    </row>
    <row r="279" spans="6:17" ht="15.75" customHeight="1" x14ac:dyDescent="0.25">
      <c r="F279" s="14"/>
      <c r="G279" s="6"/>
      <c r="H279" s="4"/>
      <c r="Q279" s="22"/>
    </row>
    <row r="280" spans="6:17" ht="15.75" customHeight="1" x14ac:dyDescent="0.25">
      <c r="F280" s="14"/>
      <c r="G280" s="6"/>
      <c r="H280" s="4"/>
      <c r="Q280" s="22"/>
    </row>
    <row r="281" spans="6:17" ht="15.75" customHeight="1" x14ac:dyDescent="0.25">
      <c r="F281" s="14"/>
      <c r="G281" s="6"/>
      <c r="H281" s="4"/>
      <c r="Q281" s="22"/>
    </row>
    <row r="282" spans="6:17" ht="15.75" customHeight="1" x14ac:dyDescent="0.25">
      <c r="F282" s="14"/>
      <c r="G282" s="6"/>
      <c r="H282" s="4"/>
      <c r="Q282" s="22"/>
    </row>
    <row r="283" spans="6:17" ht="15.75" customHeight="1" x14ac:dyDescent="0.25">
      <c r="F283" s="14"/>
      <c r="G283" s="6"/>
      <c r="H283" s="4"/>
      <c r="Q283" s="22"/>
    </row>
    <row r="284" spans="6:17" ht="15.75" customHeight="1" x14ac:dyDescent="0.25">
      <c r="F284" s="14"/>
      <c r="G284" s="6"/>
      <c r="H284" s="4"/>
      <c r="Q284" s="22"/>
    </row>
    <row r="285" spans="6:17" ht="15.75" customHeight="1" x14ac:dyDescent="0.25">
      <c r="F285" s="14"/>
      <c r="G285" s="6"/>
      <c r="H285" s="4"/>
      <c r="Q285" s="22"/>
    </row>
    <row r="286" spans="6:17" ht="15.75" customHeight="1" x14ac:dyDescent="0.25">
      <c r="F286" s="14"/>
      <c r="G286" s="6"/>
      <c r="H286" s="4"/>
      <c r="Q286" s="22"/>
    </row>
    <row r="287" spans="6:17" ht="15.75" customHeight="1" x14ac:dyDescent="0.25">
      <c r="F287" s="14"/>
      <c r="G287" s="6"/>
      <c r="H287" s="4"/>
      <c r="Q287" s="22"/>
    </row>
    <row r="288" spans="6:17" ht="15.75" customHeight="1" x14ac:dyDescent="0.25">
      <c r="F288" s="14"/>
      <c r="G288" s="6"/>
      <c r="H288" s="4"/>
      <c r="Q288" s="22"/>
    </row>
    <row r="289" spans="6:17" ht="15.75" customHeight="1" x14ac:dyDescent="0.25">
      <c r="F289" s="14"/>
      <c r="G289" s="6"/>
      <c r="H289" s="4"/>
      <c r="Q289" s="22"/>
    </row>
    <row r="290" spans="6:17" ht="15.75" customHeight="1" x14ac:dyDescent="0.25">
      <c r="F290" s="14"/>
      <c r="G290" s="6"/>
      <c r="H290" s="4"/>
      <c r="Q290" s="22"/>
    </row>
    <row r="291" spans="6:17" ht="15.75" customHeight="1" x14ac:dyDescent="0.25">
      <c r="F291" s="14"/>
      <c r="G291" s="6"/>
      <c r="H291" s="4"/>
      <c r="Q291" s="22"/>
    </row>
    <row r="292" spans="6:17" ht="15.75" customHeight="1" x14ac:dyDescent="0.25">
      <c r="F292" s="14"/>
      <c r="G292" s="6"/>
      <c r="H292" s="4"/>
      <c r="Q292" s="22"/>
    </row>
    <row r="293" spans="6:17" ht="15.75" customHeight="1" x14ac:dyDescent="0.25">
      <c r="F293" s="14"/>
      <c r="G293" s="6"/>
      <c r="H293" s="4"/>
      <c r="Q293" s="22"/>
    </row>
    <row r="294" spans="6:17" ht="15.75" customHeight="1" x14ac:dyDescent="0.25">
      <c r="F294" s="14"/>
      <c r="G294" s="6"/>
      <c r="H294" s="4"/>
      <c r="Q294" s="22"/>
    </row>
    <row r="295" spans="6:17" ht="15.75" customHeight="1" x14ac:dyDescent="0.25">
      <c r="F295" s="14"/>
      <c r="G295" s="6"/>
      <c r="H295" s="4"/>
      <c r="Q295" s="22"/>
    </row>
    <row r="296" spans="6:17" ht="15.75" customHeight="1" x14ac:dyDescent="0.25">
      <c r="F296" s="14"/>
      <c r="G296" s="6"/>
      <c r="H296" s="4"/>
      <c r="Q296" s="22"/>
    </row>
    <row r="297" spans="6:17" ht="15.75" customHeight="1" x14ac:dyDescent="0.25">
      <c r="F297" s="14"/>
      <c r="G297" s="6"/>
      <c r="H297" s="4"/>
      <c r="Q297" s="22"/>
    </row>
    <row r="298" spans="6:17" ht="15.75" customHeight="1" x14ac:dyDescent="0.25">
      <c r="F298" s="14"/>
      <c r="G298" s="6"/>
      <c r="H298" s="4"/>
      <c r="Q298" s="22"/>
    </row>
    <row r="299" spans="6:17" ht="15.75" customHeight="1" x14ac:dyDescent="0.25">
      <c r="F299" s="14"/>
      <c r="G299" s="6"/>
      <c r="H299" s="4"/>
      <c r="Q299" s="22"/>
    </row>
    <row r="300" spans="6:17" ht="15.75" customHeight="1" x14ac:dyDescent="0.25">
      <c r="F300" s="14"/>
      <c r="G300" s="6"/>
      <c r="H300" s="4"/>
      <c r="Q300" s="22"/>
    </row>
    <row r="301" spans="6:17" ht="15.75" customHeight="1" x14ac:dyDescent="0.25">
      <c r="F301" s="14"/>
      <c r="G301" s="6"/>
      <c r="H301" s="4"/>
      <c r="Q301" s="22"/>
    </row>
    <row r="302" spans="6:17" ht="15.75" customHeight="1" x14ac:dyDescent="0.25">
      <c r="F302" s="14"/>
      <c r="G302" s="6"/>
      <c r="H302" s="4"/>
      <c r="Q302" s="22"/>
    </row>
    <row r="303" spans="6:17" ht="15.75" customHeight="1" x14ac:dyDescent="0.25">
      <c r="F303" s="14"/>
      <c r="G303" s="6"/>
      <c r="H303" s="4"/>
      <c r="Q303" s="22"/>
    </row>
    <row r="304" spans="6:17" ht="15.75" customHeight="1" x14ac:dyDescent="0.25">
      <c r="F304" s="14"/>
      <c r="G304" s="6"/>
      <c r="H304" s="4"/>
      <c r="Q304" s="22"/>
    </row>
    <row r="305" spans="6:17" ht="15.75" customHeight="1" x14ac:dyDescent="0.25">
      <c r="F305" s="14"/>
      <c r="G305" s="6"/>
      <c r="H305" s="4"/>
      <c r="Q305" s="22"/>
    </row>
    <row r="306" spans="6:17" ht="15.75" customHeight="1" x14ac:dyDescent="0.25">
      <c r="F306" s="14"/>
      <c r="G306" s="6"/>
      <c r="H306" s="4"/>
      <c r="Q306" s="22"/>
    </row>
    <row r="307" spans="6:17" ht="15.75" customHeight="1" x14ac:dyDescent="0.25">
      <c r="F307" s="14"/>
      <c r="G307" s="6"/>
      <c r="H307" s="4"/>
      <c r="Q307" s="22"/>
    </row>
    <row r="308" spans="6:17" ht="15.75" customHeight="1" x14ac:dyDescent="0.25">
      <c r="F308" s="14"/>
      <c r="G308" s="6"/>
      <c r="H308" s="4"/>
      <c r="Q308" s="22"/>
    </row>
    <row r="309" spans="6:17" ht="15.75" customHeight="1" x14ac:dyDescent="0.25">
      <c r="F309" s="14"/>
      <c r="G309" s="6"/>
      <c r="H309" s="4"/>
      <c r="Q309" s="22"/>
    </row>
    <row r="310" spans="6:17" ht="15.75" customHeight="1" x14ac:dyDescent="0.25">
      <c r="G310" s="6"/>
      <c r="H310" s="4"/>
    </row>
    <row r="311" spans="6:17" ht="15.75" customHeight="1" x14ac:dyDescent="0.25">
      <c r="G311" s="6"/>
      <c r="H311" s="4"/>
    </row>
    <row r="312" spans="6:17" ht="15.75" customHeight="1" x14ac:dyDescent="0.25">
      <c r="G312" s="6"/>
      <c r="H312" s="4"/>
      <c r="O312" s="21"/>
      <c r="P312" s="21"/>
    </row>
    <row r="313" spans="6:17" ht="15.75" customHeight="1" x14ac:dyDescent="0.25">
      <c r="G313" s="6"/>
      <c r="H313" s="4"/>
      <c r="O313" s="21"/>
      <c r="P313" s="21"/>
    </row>
    <row r="314" spans="6:17" ht="15.75" customHeight="1" x14ac:dyDescent="0.25">
      <c r="G314" s="6"/>
      <c r="H314" s="4"/>
      <c r="O314" s="22"/>
      <c r="P314" s="21"/>
    </row>
    <row r="315" spans="6:17" ht="15.75" customHeight="1" x14ac:dyDescent="0.25">
      <c r="G315" s="6"/>
      <c r="H315" s="4"/>
    </row>
    <row r="316" spans="6:17" ht="15.75" customHeight="1" x14ac:dyDescent="0.25">
      <c r="G316" s="6"/>
      <c r="H316" s="4"/>
    </row>
    <row r="317" spans="6:17" ht="15.75" customHeight="1" x14ac:dyDescent="0.25">
      <c r="G317" s="6"/>
      <c r="H317" s="4"/>
    </row>
    <row r="318" spans="6:17" ht="15.75" customHeight="1" x14ac:dyDescent="0.25">
      <c r="G318" s="6"/>
      <c r="H318" s="4"/>
      <c r="O318" s="22"/>
      <c r="P318" s="21"/>
    </row>
    <row r="319" spans="6:17" ht="15.75" customHeight="1" x14ac:dyDescent="0.25">
      <c r="G319" s="6"/>
      <c r="H319" s="4"/>
      <c r="O319" s="22"/>
      <c r="P319" s="21"/>
    </row>
    <row r="320" spans="6:17" ht="15.75" customHeight="1" x14ac:dyDescent="0.25">
      <c r="G320" s="6"/>
      <c r="H320" s="4"/>
    </row>
    <row r="321" spans="7:8" ht="15.75" customHeight="1" x14ac:dyDescent="0.25">
      <c r="G321" s="6"/>
      <c r="H321" s="4"/>
    </row>
    <row r="322" spans="7:8" ht="15.75" customHeight="1" x14ac:dyDescent="0.25">
      <c r="G322" s="6"/>
      <c r="H322" s="4"/>
    </row>
    <row r="323" spans="7:8" ht="15.75" customHeight="1" x14ac:dyDescent="0.25">
      <c r="G323" s="6"/>
      <c r="H323" s="4"/>
    </row>
    <row r="324" spans="7:8" ht="15.75" customHeight="1" x14ac:dyDescent="0.25">
      <c r="G324" s="6"/>
      <c r="H324" s="4"/>
    </row>
    <row r="325" spans="7:8" ht="15.75" customHeight="1" x14ac:dyDescent="0.25">
      <c r="G325" s="6"/>
      <c r="H325" s="4"/>
    </row>
    <row r="326" spans="7:8" ht="15.75" customHeight="1" x14ac:dyDescent="0.25">
      <c r="G326" s="6"/>
      <c r="H326" s="4"/>
    </row>
    <row r="327" spans="7:8" ht="15.75" customHeight="1" x14ac:dyDescent="0.25">
      <c r="G327" s="6"/>
      <c r="H327" s="4"/>
    </row>
    <row r="328" spans="7:8" ht="15.75" customHeight="1" x14ac:dyDescent="0.25">
      <c r="G328" s="6"/>
      <c r="H328" s="4"/>
    </row>
    <row r="329" spans="7:8" ht="15.75" customHeight="1" x14ac:dyDescent="0.25">
      <c r="G329" s="6"/>
      <c r="H329" s="4"/>
    </row>
    <row r="330" spans="7:8" ht="15.75" customHeight="1" x14ac:dyDescent="0.25">
      <c r="G330" s="6"/>
      <c r="H330" s="4"/>
    </row>
    <row r="331" spans="7:8" ht="15.75" customHeight="1" x14ac:dyDescent="0.25">
      <c r="G331" s="6"/>
      <c r="H331" s="4"/>
    </row>
    <row r="332" spans="7:8" ht="15.75" customHeight="1" x14ac:dyDescent="0.25">
      <c r="G332" s="6"/>
      <c r="H332" s="4"/>
    </row>
    <row r="333" spans="7:8" ht="15.75" customHeight="1" x14ac:dyDescent="0.25">
      <c r="G333" s="6"/>
      <c r="H333" s="4"/>
    </row>
    <row r="334" spans="7:8" ht="15.75" customHeight="1" x14ac:dyDescent="0.25">
      <c r="G334" s="6"/>
      <c r="H334" s="4"/>
    </row>
    <row r="335" spans="7:8" ht="15.75" customHeight="1" x14ac:dyDescent="0.25">
      <c r="G335" s="6"/>
      <c r="H335" s="4"/>
    </row>
    <row r="336" spans="7:8" ht="15.75" customHeight="1" x14ac:dyDescent="0.25">
      <c r="G336" s="6"/>
      <c r="H336" s="4"/>
    </row>
    <row r="337" spans="7:8" ht="15.75" customHeight="1" x14ac:dyDescent="0.25">
      <c r="G337" s="6"/>
      <c r="H337" s="4"/>
    </row>
    <row r="338" spans="7:8" ht="15.75" customHeight="1" x14ac:dyDescent="0.25">
      <c r="G338" s="6"/>
      <c r="H338" s="4"/>
    </row>
    <row r="339" spans="7:8" ht="15.75" customHeight="1" x14ac:dyDescent="0.25">
      <c r="G339" s="6"/>
      <c r="H339" s="4"/>
    </row>
    <row r="340" spans="7:8" ht="15.75" customHeight="1" x14ac:dyDescent="0.25">
      <c r="G340" s="6"/>
      <c r="H340" s="4"/>
    </row>
    <row r="341" spans="7:8" ht="15.75" customHeight="1" x14ac:dyDescent="0.25">
      <c r="G341" s="6"/>
      <c r="H341" s="4"/>
    </row>
    <row r="342" spans="7:8" ht="15.75" customHeight="1" x14ac:dyDescent="0.25">
      <c r="G342" s="6"/>
      <c r="H342" s="4"/>
    </row>
    <row r="343" spans="7:8" ht="15.75" customHeight="1" x14ac:dyDescent="0.25">
      <c r="G343" s="6"/>
      <c r="H343" s="4"/>
    </row>
    <row r="344" spans="7:8" ht="15.75" customHeight="1" x14ac:dyDescent="0.25">
      <c r="G344" s="6"/>
      <c r="H344" s="4"/>
    </row>
    <row r="345" spans="7:8" ht="15.75" customHeight="1" x14ac:dyDescent="0.25">
      <c r="G345" s="6"/>
      <c r="H345" s="4"/>
    </row>
    <row r="346" spans="7:8" ht="15.75" customHeight="1" x14ac:dyDescent="0.25">
      <c r="G346" s="6"/>
      <c r="H346" s="4"/>
    </row>
    <row r="347" spans="7:8" ht="15.75" customHeight="1" x14ac:dyDescent="0.25">
      <c r="G347" s="6"/>
      <c r="H347" s="4"/>
    </row>
    <row r="348" spans="7:8" ht="15.75" customHeight="1" x14ac:dyDescent="0.25">
      <c r="G348" s="6"/>
      <c r="H348" s="4"/>
    </row>
    <row r="349" spans="7:8" ht="15.75" customHeight="1" x14ac:dyDescent="0.25">
      <c r="G349" s="6"/>
      <c r="H349" s="4"/>
    </row>
    <row r="350" spans="7:8" ht="15.75" customHeight="1" x14ac:dyDescent="0.25">
      <c r="G350" s="6"/>
      <c r="H350" s="4"/>
    </row>
    <row r="351" spans="7:8" ht="15.75" customHeight="1" x14ac:dyDescent="0.25">
      <c r="G351" s="6"/>
      <c r="H351" s="4"/>
    </row>
    <row r="352" spans="7:8" ht="15.75" customHeight="1" x14ac:dyDescent="0.25">
      <c r="G352" s="6"/>
      <c r="H352" s="4"/>
    </row>
    <row r="353" spans="7:8" ht="15.75" customHeight="1" x14ac:dyDescent="0.25">
      <c r="G353" s="6"/>
      <c r="H353" s="4"/>
    </row>
    <row r="354" spans="7:8" ht="15.75" customHeight="1" x14ac:dyDescent="0.25">
      <c r="G354" s="6"/>
      <c r="H354" s="4"/>
    </row>
    <row r="355" spans="7:8" ht="15.75" customHeight="1" x14ac:dyDescent="0.25">
      <c r="G355" s="6"/>
      <c r="H355" s="4"/>
    </row>
    <row r="356" spans="7:8" ht="15.75" customHeight="1" x14ac:dyDescent="0.25">
      <c r="G356" s="6"/>
      <c r="H356" s="4"/>
    </row>
    <row r="357" spans="7:8" ht="15.75" customHeight="1" x14ac:dyDescent="0.25">
      <c r="G357" s="6"/>
      <c r="H357" s="4"/>
    </row>
    <row r="358" spans="7:8" ht="15.75" customHeight="1" x14ac:dyDescent="0.25">
      <c r="G358" s="6"/>
      <c r="H358" s="4"/>
    </row>
    <row r="359" spans="7:8" ht="15.75" customHeight="1" x14ac:dyDescent="0.25">
      <c r="G359" s="6"/>
      <c r="H359" s="4"/>
    </row>
    <row r="360" spans="7:8" ht="15.75" customHeight="1" x14ac:dyDescent="0.25">
      <c r="G360" s="6"/>
      <c r="H360" s="4"/>
    </row>
    <row r="361" spans="7:8" ht="15.75" customHeight="1" x14ac:dyDescent="0.25">
      <c r="G361" s="6"/>
      <c r="H361" s="4"/>
    </row>
    <row r="362" spans="7:8" ht="15.75" customHeight="1" x14ac:dyDescent="0.25">
      <c r="G362" s="6"/>
      <c r="H362" s="4"/>
    </row>
    <row r="363" spans="7:8" ht="15.75" customHeight="1" x14ac:dyDescent="0.25">
      <c r="G363" s="6"/>
      <c r="H363" s="4"/>
    </row>
    <row r="364" spans="7:8" ht="15.75" customHeight="1" x14ac:dyDescent="0.25">
      <c r="G364" s="6"/>
      <c r="H364" s="4"/>
    </row>
    <row r="365" spans="7:8" ht="15.75" customHeight="1" x14ac:dyDescent="0.25">
      <c r="G365" s="6"/>
      <c r="H365" s="4"/>
    </row>
    <row r="366" spans="7:8" ht="15.75" customHeight="1" x14ac:dyDescent="0.25">
      <c r="G366" s="6"/>
      <c r="H366" s="4"/>
    </row>
    <row r="367" spans="7:8" ht="15.75" customHeight="1" x14ac:dyDescent="0.25">
      <c r="G367" s="6"/>
      <c r="H367" s="4"/>
    </row>
    <row r="368" spans="7:8" ht="15.75" customHeight="1" x14ac:dyDescent="0.25">
      <c r="G368" s="6"/>
      <c r="H368" s="4"/>
    </row>
    <row r="369" spans="7:8" ht="15.75" customHeight="1" x14ac:dyDescent="0.25">
      <c r="G369" s="6"/>
      <c r="H369" s="4"/>
    </row>
    <row r="370" spans="7:8" ht="15.75" customHeight="1" x14ac:dyDescent="0.25">
      <c r="G370" s="6"/>
      <c r="H370" s="4"/>
    </row>
    <row r="371" spans="7:8" ht="15.75" customHeight="1" x14ac:dyDescent="0.25">
      <c r="G371" s="6"/>
      <c r="H371" s="4"/>
    </row>
    <row r="372" spans="7:8" ht="15.75" customHeight="1" x14ac:dyDescent="0.25">
      <c r="G372" s="6"/>
      <c r="H372" s="4"/>
    </row>
    <row r="373" spans="7:8" ht="15.75" customHeight="1" x14ac:dyDescent="0.25">
      <c r="G373" s="6"/>
      <c r="H373" s="4"/>
    </row>
    <row r="374" spans="7:8" ht="15.75" customHeight="1" x14ac:dyDescent="0.25">
      <c r="G374" s="6"/>
      <c r="H374" s="4"/>
    </row>
    <row r="375" spans="7:8" ht="15.75" customHeight="1" x14ac:dyDescent="0.25">
      <c r="G375" s="6"/>
      <c r="H375" s="4"/>
    </row>
    <row r="376" spans="7:8" ht="15.75" customHeight="1" x14ac:dyDescent="0.25">
      <c r="G376" s="6"/>
      <c r="H376" s="4"/>
    </row>
    <row r="377" spans="7:8" ht="15.75" customHeight="1" x14ac:dyDescent="0.25">
      <c r="G377" s="6"/>
      <c r="H377" s="4"/>
    </row>
    <row r="378" spans="7:8" ht="15.75" customHeight="1" x14ac:dyDescent="0.25">
      <c r="G378" s="6"/>
      <c r="H378" s="4"/>
    </row>
    <row r="379" spans="7:8" ht="15.75" customHeight="1" x14ac:dyDescent="0.25">
      <c r="G379" s="6"/>
      <c r="H379" s="4"/>
    </row>
    <row r="380" spans="7:8" ht="15.75" customHeight="1" x14ac:dyDescent="0.25">
      <c r="G380" s="6"/>
      <c r="H380" s="4"/>
    </row>
    <row r="381" spans="7:8" ht="15.75" customHeight="1" x14ac:dyDescent="0.25">
      <c r="G381" s="6"/>
      <c r="H381" s="4"/>
    </row>
    <row r="382" spans="7:8" ht="15.75" customHeight="1" x14ac:dyDescent="0.25">
      <c r="G382" s="6"/>
      <c r="H382" s="4"/>
    </row>
    <row r="383" spans="7:8" ht="15.75" customHeight="1" x14ac:dyDescent="0.25">
      <c r="G383" s="6"/>
      <c r="H383" s="4"/>
    </row>
    <row r="384" spans="7:8" ht="15.75" customHeight="1" x14ac:dyDescent="0.25">
      <c r="G384" s="6"/>
      <c r="H384" s="4"/>
    </row>
    <row r="385" spans="7:8" ht="15.75" customHeight="1" x14ac:dyDescent="0.25">
      <c r="G385" s="6"/>
      <c r="H385" s="4"/>
    </row>
    <row r="386" spans="7:8" ht="15.75" customHeight="1" x14ac:dyDescent="0.25">
      <c r="G386" s="6"/>
      <c r="H386" s="4"/>
    </row>
    <row r="387" spans="7:8" ht="15.75" customHeight="1" x14ac:dyDescent="0.25">
      <c r="G387" s="6"/>
      <c r="H387" s="4"/>
    </row>
    <row r="388" spans="7:8" ht="15.75" customHeight="1" x14ac:dyDescent="0.25">
      <c r="G388" s="6"/>
      <c r="H388" s="4"/>
    </row>
    <row r="389" spans="7:8" ht="15.75" customHeight="1" x14ac:dyDescent="0.25">
      <c r="G389" s="6"/>
      <c r="H389" s="4"/>
    </row>
    <row r="390" spans="7:8" ht="15.75" customHeight="1" x14ac:dyDescent="0.25">
      <c r="G390" s="6"/>
      <c r="H390" s="4"/>
    </row>
    <row r="391" spans="7:8" ht="15.75" customHeight="1" x14ac:dyDescent="0.25">
      <c r="G391" s="6"/>
      <c r="H391" s="4"/>
    </row>
    <row r="392" spans="7:8" ht="15.75" customHeight="1" x14ac:dyDescent="0.25">
      <c r="G392" s="6"/>
      <c r="H392" s="4"/>
    </row>
    <row r="393" spans="7:8" ht="15.75" customHeight="1" x14ac:dyDescent="0.25">
      <c r="G393" s="6"/>
      <c r="H393" s="4"/>
    </row>
    <row r="394" spans="7:8" ht="15.75" customHeight="1" x14ac:dyDescent="0.25">
      <c r="G394" s="6"/>
      <c r="H394" s="4"/>
    </row>
    <row r="395" spans="7:8" ht="15.75" customHeight="1" x14ac:dyDescent="0.25">
      <c r="G395" s="6"/>
      <c r="H395" s="4"/>
    </row>
    <row r="396" spans="7:8" ht="15.75" customHeight="1" x14ac:dyDescent="0.25">
      <c r="G396" s="6"/>
      <c r="H396" s="4"/>
    </row>
    <row r="397" spans="7:8" ht="15.75" customHeight="1" x14ac:dyDescent="0.25">
      <c r="G397" s="6"/>
      <c r="H397" s="4"/>
    </row>
    <row r="398" spans="7:8" ht="15.75" customHeight="1" x14ac:dyDescent="0.25">
      <c r="G398" s="6"/>
      <c r="H398" s="4"/>
    </row>
    <row r="399" spans="7:8" ht="15.75" customHeight="1" x14ac:dyDescent="0.25">
      <c r="G399" s="6"/>
      <c r="H399" s="4"/>
    </row>
    <row r="400" spans="7:8" ht="15.75" customHeight="1" x14ac:dyDescent="0.25">
      <c r="G400" s="6"/>
      <c r="H400" s="4"/>
    </row>
    <row r="401" spans="7:8" ht="15.75" customHeight="1" x14ac:dyDescent="0.25">
      <c r="G401" s="6"/>
      <c r="H401" s="4"/>
    </row>
    <row r="402" spans="7:8" ht="15.75" customHeight="1" x14ac:dyDescent="0.25">
      <c r="G402" s="6"/>
      <c r="H402" s="4"/>
    </row>
    <row r="403" spans="7:8" ht="15.75" customHeight="1" x14ac:dyDescent="0.25">
      <c r="G403" s="6"/>
      <c r="H403" s="4"/>
    </row>
    <row r="404" spans="7:8" ht="15.75" customHeight="1" x14ac:dyDescent="0.25">
      <c r="G404" s="6"/>
      <c r="H404" s="4"/>
    </row>
    <row r="405" spans="7:8" ht="15.75" customHeight="1" x14ac:dyDescent="0.25">
      <c r="G405" s="6"/>
      <c r="H405" s="4"/>
    </row>
    <row r="406" spans="7:8" ht="15.75" customHeight="1" x14ac:dyDescent="0.25">
      <c r="G406" s="6"/>
      <c r="H406" s="4"/>
    </row>
    <row r="407" spans="7:8" ht="15.75" customHeight="1" x14ac:dyDescent="0.25">
      <c r="G407" s="6"/>
      <c r="H407" s="4"/>
    </row>
    <row r="408" spans="7:8" ht="15.75" customHeight="1" x14ac:dyDescent="0.25">
      <c r="G408" s="6"/>
      <c r="H408" s="4"/>
    </row>
    <row r="409" spans="7:8" ht="15.75" customHeight="1" x14ac:dyDescent="0.25">
      <c r="G409" s="6"/>
      <c r="H409" s="4"/>
    </row>
    <row r="410" spans="7:8" ht="15.75" customHeight="1" x14ac:dyDescent="0.25">
      <c r="G410" s="6"/>
      <c r="H410" s="4"/>
    </row>
    <row r="411" spans="7:8" ht="15.75" customHeight="1" x14ac:dyDescent="0.25">
      <c r="G411" s="6"/>
      <c r="H411" s="4"/>
    </row>
    <row r="412" spans="7:8" ht="15.75" customHeight="1" x14ac:dyDescent="0.25">
      <c r="G412" s="6"/>
      <c r="H412" s="4"/>
    </row>
    <row r="413" spans="7:8" ht="15.75" customHeight="1" x14ac:dyDescent="0.25">
      <c r="G413" s="6"/>
      <c r="H413" s="4"/>
    </row>
    <row r="414" spans="7:8" ht="15.75" customHeight="1" x14ac:dyDescent="0.25">
      <c r="G414" s="6"/>
      <c r="H414" s="4"/>
    </row>
    <row r="415" spans="7:8" ht="15.75" customHeight="1" x14ac:dyDescent="0.25">
      <c r="G415" s="6"/>
      <c r="H415" s="4"/>
    </row>
    <row r="416" spans="7:8" ht="15.75" customHeight="1" x14ac:dyDescent="0.25">
      <c r="G416" s="6"/>
      <c r="H416" s="4"/>
    </row>
    <row r="417" spans="7:8" ht="15.75" customHeight="1" x14ac:dyDescent="0.25">
      <c r="G417" s="6"/>
      <c r="H417" s="4"/>
    </row>
    <row r="418" spans="7:8" ht="15.75" customHeight="1" x14ac:dyDescent="0.25">
      <c r="G418" s="6"/>
      <c r="H418" s="4"/>
    </row>
    <row r="419" spans="7:8" ht="15.75" customHeight="1" x14ac:dyDescent="0.25">
      <c r="G419" s="6"/>
      <c r="H419" s="4"/>
    </row>
    <row r="420" spans="7:8" ht="15.75" customHeight="1" x14ac:dyDescent="0.25">
      <c r="G420" s="6"/>
      <c r="H420" s="4"/>
    </row>
    <row r="421" spans="7:8" ht="15.75" customHeight="1" x14ac:dyDescent="0.25">
      <c r="G421" s="6"/>
      <c r="H421" s="4"/>
    </row>
    <row r="422" spans="7:8" ht="15.75" customHeight="1" x14ac:dyDescent="0.25">
      <c r="G422" s="6"/>
      <c r="H422" s="4"/>
    </row>
    <row r="423" spans="7:8" ht="15.75" customHeight="1" x14ac:dyDescent="0.25">
      <c r="G423" s="6"/>
      <c r="H423" s="4"/>
    </row>
    <row r="424" spans="7:8" ht="15.75" customHeight="1" x14ac:dyDescent="0.25">
      <c r="G424" s="6"/>
      <c r="H424" s="4"/>
    </row>
    <row r="425" spans="7:8" ht="15.75" customHeight="1" x14ac:dyDescent="0.25">
      <c r="G425" s="6"/>
      <c r="H425" s="4"/>
    </row>
    <row r="426" spans="7:8" ht="15.75" customHeight="1" x14ac:dyDescent="0.25">
      <c r="G426" s="6"/>
      <c r="H426" s="4"/>
    </row>
    <row r="427" spans="7:8" ht="15.75" customHeight="1" x14ac:dyDescent="0.25">
      <c r="G427" s="6"/>
      <c r="H427" s="4"/>
    </row>
    <row r="428" spans="7:8" ht="15.75" customHeight="1" x14ac:dyDescent="0.25">
      <c r="G428" s="6"/>
      <c r="H428" s="4"/>
    </row>
    <row r="429" spans="7:8" ht="15.75" customHeight="1" x14ac:dyDescent="0.25">
      <c r="G429" s="6"/>
      <c r="H429" s="4"/>
    </row>
    <row r="430" spans="7:8" ht="15.75" customHeight="1" x14ac:dyDescent="0.25">
      <c r="G430" s="6"/>
      <c r="H430" s="4"/>
    </row>
    <row r="431" spans="7:8" ht="15.75" customHeight="1" x14ac:dyDescent="0.25">
      <c r="G431" s="6"/>
      <c r="H431" s="4"/>
    </row>
    <row r="432" spans="7:8" ht="15.75" customHeight="1" x14ac:dyDescent="0.25">
      <c r="G432" s="6"/>
      <c r="H432" s="4"/>
    </row>
    <row r="433" spans="7:8" ht="15.75" customHeight="1" x14ac:dyDescent="0.25">
      <c r="G433" s="6"/>
      <c r="H433" s="4"/>
    </row>
    <row r="434" spans="7:8" ht="15.75" customHeight="1" x14ac:dyDescent="0.25">
      <c r="G434" s="6"/>
      <c r="H434" s="4"/>
    </row>
    <row r="435" spans="7:8" ht="15.75" customHeight="1" x14ac:dyDescent="0.25">
      <c r="G435" s="6"/>
      <c r="H435" s="4"/>
    </row>
    <row r="436" spans="7:8" ht="15.75" customHeight="1" x14ac:dyDescent="0.25">
      <c r="G436" s="6"/>
      <c r="H436" s="4"/>
    </row>
    <row r="437" spans="7:8" ht="15.75" customHeight="1" x14ac:dyDescent="0.25">
      <c r="G437" s="6"/>
      <c r="H437" s="4"/>
    </row>
    <row r="438" spans="7:8" ht="15.75" customHeight="1" x14ac:dyDescent="0.25">
      <c r="G438" s="6"/>
      <c r="H438" s="4"/>
    </row>
    <row r="439" spans="7:8" ht="15.75" customHeight="1" x14ac:dyDescent="0.25">
      <c r="G439" s="6"/>
      <c r="H439" s="4"/>
    </row>
    <row r="440" spans="7:8" ht="15.75" customHeight="1" x14ac:dyDescent="0.25">
      <c r="G440" s="6"/>
      <c r="H440" s="4"/>
    </row>
    <row r="441" spans="7:8" ht="15.75" customHeight="1" x14ac:dyDescent="0.25">
      <c r="G441" s="6"/>
      <c r="H441" s="4"/>
    </row>
    <row r="442" spans="7:8" ht="15.75" customHeight="1" x14ac:dyDescent="0.25">
      <c r="G442" s="6"/>
      <c r="H442" s="4"/>
    </row>
    <row r="443" spans="7:8" ht="15.75" customHeight="1" x14ac:dyDescent="0.25">
      <c r="G443" s="6"/>
      <c r="H443" s="4"/>
    </row>
    <row r="444" spans="7:8" ht="15.75" customHeight="1" x14ac:dyDescent="0.25">
      <c r="G444" s="6"/>
      <c r="H444" s="4"/>
    </row>
    <row r="445" spans="7:8" ht="15.75" customHeight="1" x14ac:dyDescent="0.25">
      <c r="G445" s="6"/>
      <c r="H445" s="4"/>
    </row>
    <row r="446" spans="7:8" ht="15.75" customHeight="1" x14ac:dyDescent="0.25">
      <c r="G446" s="6"/>
      <c r="H446" s="4"/>
    </row>
    <row r="447" spans="7:8" ht="15.75" customHeight="1" x14ac:dyDescent="0.25">
      <c r="G447" s="6"/>
      <c r="H447" s="4"/>
    </row>
    <row r="448" spans="7:8" ht="15.75" customHeight="1" x14ac:dyDescent="0.25">
      <c r="G448" s="6"/>
      <c r="H448" s="4"/>
    </row>
    <row r="449" spans="7:8" ht="15.75" customHeight="1" x14ac:dyDescent="0.25">
      <c r="G449" s="6"/>
      <c r="H449" s="4"/>
    </row>
    <row r="450" spans="7:8" ht="15.75" customHeight="1" x14ac:dyDescent="0.25">
      <c r="G450" s="6"/>
      <c r="H450" s="4"/>
    </row>
    <row r="451" spans="7:8" ht="15.75" customHeight="1" x14ac:dyDescent="0.25">
      <c r="G451" s="6"/>
      <c r="H451" s="4"/>
    </row>
    <row r="452" spans="7:8" ht="15.75" customHeight="1" x14ac:dyDescent="0.25">
      <c r="G452" s="6"/>
      <c r="H452" s="4"/>
    </row>
    <row r="453" spans="7:8" ht="15.75" customHeight="1" x14ac:dyDescent="0.25">
      <c r="G453" s="6"/>
      <c r="H453" s="4"/>
    </row>
    <row r="454" spans="7:8" ht="15.75" customHeight="1" x14ac:dyDescent="0.25">
      <c r="G454" s="6"/>
      <c r="H454" s="4"/>
    </row>
    <row r="455" spans="7:8" ht="15.75" customHeight="1" x14ac:dyDescent="0.25">
      <c r="G455" s="6"/>
      <c r="H455" s="4"/>
    </row>
    <row r="456" spans="7:8" ht="15.75" customHeight="1" x14ac:dyDescent="0.25">
      <c r="G456" s="6"/>
      <c r="H456" s="4"/>
    </row>
    <row r="457" spans="7:8" ht="15.75" customHeight="1" x14ac:dyDescent="0.25">
      <c r="G457" s="6"/>
      <c r="H457" s="4"/>
    </row>
    <row r="458" spans="7:8" ht="15.75" customHeight="1" x14ac:dyDescent="0.25">
      <c r="G458" s="6"/>
      <c r="H458" s="4"/>
    </row>
    <row r="459" spans="7:8" ht="15.75" customHeight="1" x14ac:dyDescent="0.25">
      <c r="G459" s="6"/>
      <c r="H459" s="4"/>
    </row>
    <row r="460" spans="7:8" ht="15.75" customHeight="1" x14ac:dyDescent="0.25">
      <c r="G460" s="6"/>
      <c r="H460" s="4"/>
    </row>
    <row r="461" spans="7:8" ht="15.75" customHeight="1" x14ac:dyDescent="0.25">
      <c r="G461" s="6"/>
      <c r="H461" s="4"/>
    </row>
    <row r="462" spans="7:8" ht="15.75" customHeight="1" x14ac:dyDescent="0.25">
      <c r="G462" s="6"/>
      <c r="H462" s="4"/>
    </row>
    <row r="463" spans="7:8" ht="15.75" customHeight="1" x14ac:dyDescent="0.25">
      <c r="G463" s="6"/>
      <c r="H463" s="4"/>
    </row>
    <row r="464" spans="7:8" ht="15.75" customHeight="1" x14ac:dyDescent="0.25">
      <c r="G464" s="6"/>
      <c r="H464" s="4"/>
    </row>
    <row r="465" spans="7:8" ht="15.75" customHeight="1" x14ac:dyDescent="0.25">
      <c r="G465" s="6"/>
      <c r="H465" s="4"/>
    </row>
    <row r="466" spans="7:8" ht="15.75" customHeight="1" x14ac:dyDescent="0.25">
      <c r="G466" s="6"/>
      <c r="H466" s="4"/>
    </row>
    <row r="467" spans="7:8" ht="15.75" customHeight="1" x14ac:dyDescent="0.25">
      <c r="G467" s="6"/>
      <c r="H467" s="4"/>
    </row>
    <row r="468" spans="7:8" ht="15.75" customHeight="1" x14ac:dyDescent="0.25">
      <c r="G468" s="6"/>
      <c r="H468" s="4"/>
    </row>
    <row r="469" spans="7:8" ht="15.75" customHeight="1" x14ac:dyDescent="0.25">
      <c r="G469" s="6"/>
      <c r="H469" s="4"/>
    </row>
    <row r="470" spans="7:8" ht="15.75" customHeight="1" x14ac:dyDescent="0.25">
      <c r="G470" s="6"/>
      <c r="H470" s="4"/>
    </row>
    <row r="471" spans="7:8" ht="15.75" customHeight="1" x14ac:dyDescent="0.25">
      <c r="G471" s="6"/>
      <c r="H471" s="4"/>
    </row>
    <row r="472" spans="7:8" ht="15.75" customHeight="1" x14ac:dyDescent="0.25">
      <c r="G472" s="6"/>
      <c r="H472" s="4"/>
    </row>
    <row r="473" spans="7:8" ht="15.75" customHeight="1" x14ac:dyDescent="0.25">
      <c r="G473" s="6"/>
      <c r="H473" s="4"/>
    </row>
    <row r="474" spans="7:8" ht="15.75" customHeight="1" x14ac:dyDescent="0.25">
      <c r="G474" s="6"/>
      <c r="H474" s="4"/>
    </row>
    <row r="475" spans="7:8" ht="15.75" customHeight="1" x14ac:dyDescent="0.25">
      <c r="G475" s="6"/>
      <c r="H475" s="4"/>
    </row>
    <row r="476" spans="7:8" ht="15.75" customHeight="1" x14ac:dyDescent="0.25">
      <c r="G476" s="6"/>
      <c r="H476" s="4"/>
    </row>
    <row r="477" spans="7:8" ht="15.75" customHeight="1" x14ac:dyDescent="0.25">
      <c r="G477" s="6"/>
      <c r="H477" s="4"/>
    </row>
    <row r="478" spans="7:8" ht="15.75" customHeight="1" x14ac:dyDescent="0.25">
      <c r="G478" s="6"/>
      <c r="H478" s="4"/>
    </row>
    <row r="479" spans="7:8" ht="15.75" customHeight="1" x14ac:dyDescent="0.25">
      <c r="G479" s="6"/>
      <c r="H479" s="4"/>
    </row>
    <row r="480" spans="7:8" ht="15.75" customHeight="1" x14ac:dyDescent="0.25">
      <c r="G480" s="6"/>
      <c r="H480" s="4"/>
    </row>
    <row r="481" spans="7:8" ht="15.75" customHeight="1" x14ac:dyDescent="0.25">
      <c r="G481" s="6"/>
      <c r="H481" s="4"/>
    </row>
    <row r="482" spans="7:8" ht="15.75" customHeight="1" x14ac:dyDescent="0.25">
      <c r="G482" s="6"/>
      <c r="H482" s="4"/>
    </row>
    <row r="483" spans="7:8" ht="15.75" customHeight="1" x14ac:dyDescent="0.25">
      <c r="G483" s="6"/>
      <c r="H483" s="4"/>
    </row>
    <row r="484" spans="7:8" ht="15.75" customHeight="1" x14ac:dyDescent="0.25">
      <c r="G484" s="6"/>
      <c r="H484" s="4"/>
    </row>
    <row r="485" spans="7:8" ht="15.75" customHeight="1" x14ac:dyDescent="0.25">
      <c r="G485" s="6"/>
      <c r="H485" s="4"/>
    </row>
    <row r="486" spans="7:8" ht="15.75" customHeight="1" x14ac:dyDescent="0.25">
      <c r="G486" s="6"/>
      <c r="H486" s="4"/>
    </row>
    <row r="487" spans="7:8" ht="15.75" customHeight="1" x14ac:dyDescent="0.25">
      <c r="G487" s="6"/>
      <c r="H487" s="4"/>
    </row>
    <row r="488" spans="7:8" ht="15.75" customHeight="1" x14ac:dyDescent="0.25">
      <c r="G488" s="6"/>
      <c r="H488" s="4"/>
    </row>
    <row r="489" spans="7:8" ht="15.75" customHeight="1" x14ac:dyDescent="0.25">
      <c r="G489" s="6"/>
      <c r="H489" s="4"/>
    </row>
    <row r="490" spans="7:8" ht="15.75" customHeight="1" x14ac:dyDescent="0.25">
      <c r="G490" s="6"/>
      <c r="H490" s="4"/>
    </row>
    <row r="491" spans="7:8" ht="15.75" customHeight="1" x14ac:dyDescent="0.25">
      <c r="G491" s="6"/>
      <c r="H491" s="4"/>
    </row>
    <row r="492" spans="7:8" ht="15.75" customHeight="1" x14ac:dyDescent="0.25">
      <c r="G492" s="6"/>
      <c r="H492" s="4"/>
    </row>
    <row r="493" spans="7:8" ht="15.75" customHeight="1" x14ac:dyDescent="0.25">
      <c r="G493" s="6"/>
      <c r="H493" s="4"/>
    </row>
    <row r="494" spans="7:8" ht="15.75" customHeight="1" x14ac:dyDescent="0.25">
      <c r="G494" s="6"/>
      <c r="H494" s="4"/>
    </row>
    <row r="495" spans="7:8" ht="15.75" customHeight="1" x14ac:dyDescent="0.25">
      <c r="G495" s="6"/>
      <c r="H495" s="4"/>
    </row>
    <row r="496" spans="7:8" ht="15.75" customHeight="1" x14ac:dyDescent="0.25">
      <c r="G496" s="6"/>
      <c r="H496" s="4"/>
    </row>
    <row r="497" spans="7:8" ht="15.75" customHeight="1" x14ac:dyDescent="0.25">
      <c r="G497" s="6"/>
      <c r="H497" s="4"/>
    </row>
    <row r="498" spans="7:8" ht="15.75" customHeight="1" x14ac:dyDescent="0.25">
      <c r="G498" s="6"/>
      <c r="H498" s="4"/>
    </row>
    <row r="499" spans="7:8" ht="15.75" customHeight="1" x14ac:dyDescent="0.25">
      <c r="G499" s="6"/>
      <c r="H499" s="4"/>
    </row>
    <row r="500" spans="7:8" ht="15.75" customHeight="1" x14ac:dyDescent="0.25">
      <c r="G500" s="6"/>
      <c r="H500" s="4"/>
    </row>
    <row r="501" spans="7:8" ht="15.75" customHeight="1" x14ac:dyDescent="0.25">
      <c r="G501" s="6"/>
      <c r="H501" s="4"/>
    </row>
    <row r="502" spans="7:8" ht="15.75" customHeight="1" x14ac:dyDescent="0.25">
      <c r="G502" s="6"/>
      <c r="H502" s="4"/>
    </row>
    <row r="503" spans="7:8" ht="15.75" customHeight="1" x14ac:dyDescent="0.25">
      <c r="G503" s="6"/>
      <c r="H503" s="4"/>
    </row>
    <row r="504" spans="7:8" ht="15.75" customHeight="1" x14ac:dyDescent="0.25">
      <c r="G504" s="6"/>
      <c r="H504" s="4"/>
    </row>
    <row r="505" spans="7:8" ht="15.75" customHeight="1" x14ac:dyDescent="0.25">
      <c r="G505" s="6"/>
      <c r="H505" s="4"/>
    </row>
    <row r="506" spans="7:8" ht="15.75" customHeight="1" x14ac:dyDescent="0.25">
      <c r="G506" s="6"/>
      <c r="H506" s="4"/>
    </row>
    <row r="507" spans="7:8" ht="15.75" customHeight="1" x14ac:dyDescent="0.25">
      <c r="G507" s="6"/>
      <c r="H507" s="4"/>
    </row>
    <row r="508" spans="7:8" ht="15.75" customHeight="1" x14ac:dyDescent="0.25">
      <c r="G508" s="6"/>
      <c r="H508" s="4"/>
    </row>
    <row r="509" spans="7:8" ht="15.75" customHeight="1" x14ac:dyDescent="0.25">
      <c r="G509" s="6"/>
      <c r="H509" s="4"/>
    </row>
    <row r="510" spans="7:8" ht="15.75" customHeight="1" x14ac:dyDescent="0.25">
      <c r="G510" s="6"/>
      <c r="H510" s="4"/>
    </row>
    <row r="511" spans="7:8" ht="15.75" customHeight="1" x14ac:dyDescent="0.25">
      <c r="G511" s="6"/>
      <c r="H511" s="4"/>
    </row>
    <row r="512" spans="7:8" ht="15.75" customHeight="1" x14ac:dyDescent="0.25">
      <c r="G512" s="6"/>
      <c r="H512" s="4"/>
    </row>
    <row r="513" spans="7:8" ht="15.75" customHeight="1" x14ac:dyDescent="0.25">
      <c r="G513" s="6"/>
      <c r="H513" s="4"/>
    </row>
    <row r="514" spans="7:8" ht="15.75" customHeight="1" x14ac:dyDescent="0.25">
      <c r="G514" s="6"/>
      <c r="H514" s="4"/>
    </row>
    <row r="515" spans="7:8" ht="15.75" customHeight="1" x14ac:dyDescent="0.25">
      <c r="G515" s="6"/>
      <c r="H515" s="4"/>
    </row>
    <row r="516" spans="7:8" ht="15.75" customHeight="1" x14ac:dyDescent="0.25">
      <c r="G516" s="6"/>
      <c r="H516" s="4"/>
    </row>
    <row r="517" spans="7:8" ht="15.75" customHeight="1" x14ac:dyDescent="0.25">
      <c r="G517" s="6"/>
      <c r="H517" s="4"/>
    </row>
    <row r="518" spans="7:8" ht="15.75" customHeight="1" x14ac:dyDescent="0.25">
      <c r="G518" s="6"/>
      <c r="H518" s="4"/>
    </row>
    <row r="519" spans="7:8" ht="15.75" customHeight="1" x14ac:dyDescent="0.25">
      <c r="G519" s="6"/>
      <c r="H519" s="4"/>
    </row>
    <row r="520" spans="7:8" ht="15.75" customHeight="1" x14ac:dyDescent="0.25">
      <c r="G520" s="6"/>
      <c r="H520" s="4"/>
    </row>
    <row r="521" spans="7:8" ht="15.75" customHeight="1" x14ac:dyDescent="0.25">
      <c r="G521" s="6"/>
      <c r="H521" s="4"/>
    </row>
    <row r="522" spans="7:8" ht="15.75" customHeight="1" x14ac:dyDescent="0.25">
      <c r="G522" s="6"/>
      <c r="H522" s="4"/>
    </row>
    <row r="523" spans="7:8" ht="15.75" customHeight="1" x14ac:dyDescent="0.25">
      <c r="G523" s="6"/>
      <c r="H523" s="4"/>
    </row>
    <row r="524" spans="7:8" ht="15.75" customHeight="1" x14ac:dyDescent="0.25">
      <c r="G524" s="6"/>
      <c r="H524" s="4"/>
    </row>
    <row r="525" spans="7:8" ht="15.75" customHeight="1" x14ac:dyDescent="0.25">
      <c r="G525" s="6"/>
      <c r="H525" s="4"/>
    </row>
    <row r="526" spans="7:8" ht="15.75" customHeight="1" x14ac:dyDescent="0.25">
      <c r="G526" s="6"/>
      <c r="H526" s="4"/>
    </row>
    <row r="527" spans="7:8" ht="15.75" customHeight="1" x14ac:dyDescent="0.25">
      <c r="G527" s="6"/>
      <c r="H527" s="4"/>
    </row>
    <row r="528" spans="7:8" ht="15.75" customHeight="1" x14ac:dyDescent="0.25">
      <c r="G528" s="6"/>
      <c r="H528" s="4"/>
    </row>
    <row r="529" spans="7:8" ht="15.75" customHeight="1" x14ac:dyDescent="0.25">
      <c r="G529" s="6"/>
      <c r="H529" s="4"/>
    </row>
    <row r="530" spans="7:8" ht="15.75" customHeight="1" x14ac:dyDescent="0.25">
      <c r="G530" s="6"/>
      <c r="H530" s="4"/>
    </row>
    <row r="531" spans="7:8" ht="15.75" customHeight="1" x14ac:dyDescent="0.25">
      <c r="G531" s="6"/>
      <c r="H531" s="4"/>
    </row>
    <row r="532" spans="7:8" ht="15.75" customHeight="1" x14ac:dyDescent="0.25">
      <c r="G532" s="6"/>
      <c r="H532" s="4"/>
    </row>
    <row r="533" spans="7:8" ht="15.75" customHeight="1" x14ac:dyDescent="0.25">
      <c r="G533" s="6"/>
      <c r="H533" s="4"/>
    </row>
    <row r="534" spans="7:8" ht="15.75" customHeight="1" x14ac:dyDescent="0.25">
      <c r="G534" s="6"/>
      <c r="H534" s="4"/>
    </row>
    <row r="535" spans="7:8" ht="15.75" customHeight="1" x14ac:dyDescent="0.25">
      <c r="G535" s="6"/>
      <c r="H535" s="4"/>
    </row>
    <row r="536" spans="7:8" ht="15.75" customHeight="1" x14ac:dyDescent="0.25">
      <c r="G536" s="6"/>
      <c r="H536" s="4"/>
    </row>
    <row r="537" spans="7:8" ht="15.75" customHeight="1" x14ac:dyDescent="0.25">
      <c r="G537" s="6"/>
      <c r="H537" s="4"/>
    </row>
    <row r="538" spans="7:8" ht="15.75" customHeight="1" x14ac:dyDescent="0.25">
      <c r="G538" s="6"/>
      <c r="H538" s="4"/>
    </row>
    <row r="539" spans="7:8" ht="15.75" customHeight="1" x14ac:dyDescent="0.25">
      <c r="G539" s="6"/>
      <c r="H539" s="4"/>
    </row>
    <row r="540" spans="7:8" ht="15.75" customHeight="1" x14ac:dyDescent="0.25">
      <c r="G540" s="6"/>
      <c r="H540" s="4"/>
    </row>
    <row r="541" spans="7:8" ht="15.75" customHeight="1" x14ac:dyDescent="0.25">
      <c r="G541" s="6"/>
      <c r="H541" s="4"/>
    </row>
    <row r="542" spans="7:8" ht="15.75" customHeight="1" x14ac:dyDescent="0.25">
      <c r="G542" s="6"/>
      <c r="H542" s="4"/>
    </row>
    <row r="543" spans="7:8" ht="15.75" customHeight="1" x14ac:dyDescent="0.25">
      <c r="G543" s="6"/>
      <c r="H543" s="4"/>
    </row>
    <row r="544" spans="7:8" ht="15.75" customHeight="1" x14ac:dyDescent="0.25">
      <c r="G544" s="6"/>
      <c r="H544" s="4"/>
    </row>
    <row r="545" spans="7:8" ht="15.75" customHeight="1" x14ac:dyDescent="0.25">
      <c r="G545" s="6"/>
      <c r="H545" s="4"/>
    </row>
    <row r="546" spans="7:8" ht="15.75" customHeight="1" x14ac:dyDescent="0.25">
      <c r="G546" s="6"/>
      <c r="H546" s="4"/>
    </row>
    <row r="547" spans="7:8" ht="15.75" customHeight="1" x14ac:dyDescent="0.25">
      <c r="G547" s="6"/>
      <c r="H547" s="4"/>
    </row>
    <row r="548" spans="7:8" ht="15.75" customHeight="1" x14ac:dyDescent="0.25">
      <c r="G548" s="6"/>
      <c r="H548" s="4"/>
    </row>
    <row r="549" spans="7:8" ht="15.75" customHeight="1" x14ac:dyDescent="0.25">
      <c r="G549" s="6"/>
      <c r="H549" s="4"/>
    </row>
    <row r="550" spans="7:8" ht="15.75" customHeight="1" x14ac:dyDescent="0.25">
      <c r="G550" s="6"/>
      <c r="H550" s="4"/>
    </row>
    <row r="551" spans="7:8" ht="15.75" customHeight="1" x14ac:dyDescent="0.25">
      <c r="G551" s="6"/>
      <c r="H551" s="4"/>
    </row>
    <row r="552" spans="7:8" ht="15.75" customHeight="1" x14ac:dyDescent="0.25">
      <c r="G552" s="6"/>
      <c r="H552" s="4"/>
    </row>
    <row r="553" spans="7:8" ht="15.75" customHeight="1" x14ac:dyDescent="0.25">
      <c r="G553" s="6"/>
      <c r="H553" s="4"/>
    </row>
    <row r="554" spans="7:8" ht="15.75" customHeight="1" x14ac:dyDescent="0.25">
      <c r="G554" s="6"/>
      <c r="H554" s="4"/>
    </row>
    <row r="555" spans="7:8" ht="15.75" customHeight="1" x14ac:dyDescent="0.25">
      <c r="G555" s="6"/>
      <c r="H555" s="4"/>
    </row>
    <row r="556" spans="7:8" ht="15.75" customHeight="1" x14ac:dyDescent="0.25">
      <c r="G556" s="6"/>
      <c r="H556" s="4"/>
    </row>
    <row r="557" spans="7:8" ht="15.75" customHeight="1" x14ac:dyDescent="0.25">
      <c r="G557" s="6"/>
      <c r="H557" s="4"/>
    </row>
    <row r="558" spans="7:8" ht="15.75" customHeight="1" x14ac:dyDescent="0.25">
      <c r="G558" s="6"/>
      <c r="H558" s="4"/>
    </row>
    <row r="559" spans="7:8" ht="15.75" customHeight="1" x14ac:dyDescent="0.25">
      <c r="G559" s="6"/>
      <c r="H559" s="4"/>
    </row>
    <row r="560" spans="7:8" ht="15.75" customHeight="1" x14ac:dyDescent="0.25">
      <c r="G560" s="6"/>
      <c r="H560" s="4"/>
    </row>
    <row r="561" spans="7:8" ht="15.75" customHeight="1" x14ac:dyDescent="0.25">
      <c r="G561" s="6"/>
      <c r="H561" s="4"/>
    </row>
    <row r="562" spans="7:8" ht="15.75" customHeight="1" x14ac:dyDescent="0.25">
      <c r="G562" s="6"/>
      <c r="H562" s="4"/>
    </row>
    <row r="563" spans="7:8" ht="15.75" customHeight="1" x14ac:dyDescent="0.25">
      <c r="G563" s="6"/>
      <c r="H563" s="4"/>
    </row>
    <row r="564" spans="7:8" ht="15.75" customHeight="1" x14ac:dyDescent="0.25">
      <c r="G564" s="6"/>
      <c r="H564" s="4"/>
    </row>
    <row r="565" spans="7:8" ht="15.75" customHeight="1" x14ac:dyDescent="0.25">
      <c r="G565" s="6"/>
      <c r="H565" s="4"/>
    </row>
    <row r="566" spans="7:8" ht="15.75" customHeight="1" x14ac:dyDescent="0.25">
      <c r="G566" s="6"/>
      <c r="H566" s="4"/>
    </row>
    <row r="567" spans="7:8" ht="15.75" customHeight="1" x14ac:dyDescent="0.25">
      <c r="G567" s="6"/>
      <c r="H567" s="4"/>
    </row>
    <row r="568" spans="7:8" ht="15.75" customHeight="1" x14ac:dyDescent="0.25">
      <c r="G568" s="6"/>
      <c r="H568" s="4"/>
    </row>
    <row r="569" spans="7:8" ht="15.75" customHeight="1" x14ac:dyDescent="0.25">
      <c r="G569" s="6"/>
      <c r="H569" s="4"/>
    </row>
    <row r="570" spans="7:8" ht="15.75" customHeight="1" x14ac:dyDescent="0.25">
      <c r="G570" s="6"/>
      <c r="H570" s="4"/>
    </row>
    <row r="571" spans="7:8" ht="15.75" customHeight="1" x14ac:dyDescent="0.25">
      <c r="G571" s="6"/>
      <c r="H571" s="4"/>
    </row>
    <row r="572" spans="7:8" ht="15.75" customHeight="1" x14ac:dyDescent="0.25">
      <c r="G572" s="6"/>
      <c r="H572" s="4"/>
    </row>
    <row r="573" spans="7:8" ht="15.75" customHeight="1" x14ac:dyDescent="0.25">
      <c r="G573" s="6"/>
      <c r="H573" s="4"/>
    </row>
    <row r="574" spans="7:8" ht="15.75" customHeight="1" x14ac:dyDescent="0.25">
      <c r="G574" s="6"/>
      <c r="H574" s="4"/>
    </row>
    <row r="575" spans="7:8" ht="15.75" customHeight="1" x14ac:dyDescent="0.25">
      <c r="G575" s="6"/>
      <c r="H575" s="4"/>
    </row>
    <row r="576" spans="7:8" ht="15.75" customHeight="1" x14ac:dyDescent="0.25">
      <c r="G576" s="6"/>
      <c r="H576" s="4"/>
    </row>
    <row r="577" spans="7:8" ht="15.75" customHeight="1" x14ac:dyDescent="0.25">
      <c r="G577" s="6"/>
      <c r="H577" s="4"/>
    </row>
    <row r="578" spans="7:8" ht="15.75" customHeight="1" x14ac:dyDescent="0.25">
      <c r="G578" s="6"/>
      <c r="H578" s="4"/>
    </row>
    <row r="579" spans="7:8" ht="15.75" customHeight="1" x14ac:dyDescent="0.25">
      <c r="G579" s="6"/>
      <c r="H579" s="4"/>
    </row>
    <row r="580" spans="7:8" ht="15.75" customHeight="1" x14ac:dyDescent="0.25">
      <c r="G580" s="6"/>
      <c r="H580" s="4"/>
    </row>
    <row r="581" spans="7:8" ht="15.75" customHeight="1" x14ac:dyDescent="0.25">
      <c r="G581" s="6"/>
      <c r="H581" s="4"/>
    </row>
    <row r="582" spans="7:8" ht="15.75" customHeight="1" x14ac:dyDescent="0.25">
      <c r="G582" s="6"/>
      <c r="H582" s="4"/>
    </row>
    <row r="583" spans="7:8" ht="15.75" customHeight="1" x14ac:dyDescent="0.25">
      <c r="G583" s="6"/>
      <c r="H583" s="4"/>
    </row>
    <row r="584" spans="7:8" ht="15.75" customHeight="1" x14ac:dyDescent="0.25">
      <c r="G584" s="6"/>
      <c r="H584" s="4"/>
    </row>
    <row r="585" spans="7:8" ht="15.75" customHeight="1" x14ac:dyDescent="0.25">
      <c r="G585" s="6"/>
      <c r="H585" s="4"/>
    </row>
    <row r="586" spans="7:8" ht="15.75" customHeight="1" x14ac:dyDescent="0.25">
      <c r="G586" s="6"/>
      <c r="H586" s="4"/>
    </row>
    <row r="587" spans="7:8" ht="15.75" customHeight="1" x14ac:dyDescent="0.25">
      <c r="G587" s="6"/>
      <c r="H587" s="4"/>
    </row>
    <row r="588" spans="7:8" ht="15.75" customHeight="1" x14ac:dyDescent="0.25">
      <c r="G588" s="6"/>
      <c r="H588" s="4"/>
    </row>
    <row r="589" spans="7:8" ht="15.75" customHeight="1" x14ac:dyDescent="0.25">
      <c r="G589" s="6"/>
      <c r="H589" s="4"/>
    </row>
    <row r="590" spans="7:8" ht="15.75" customHeight="1" x14ac:dyDescent="0.25">
      <c r="G590" s="6"/>
      <c r="H590" s="4"/>
    </row>
    <row r="591" spans="7:8" ht="15.75" customHeight="1" x14ac:dyDescent="0.25">
      <c r="G591" s="6"/>
      <c r="H591" s="4"/>
    </row>
    <row r="592" spans="7:8" ht="15.75" customHeight="1" x14ac:dyDescent="0.25">
      <c r="G592" s="6"/>
      <c r="H592" s="4"/>
    </row>
    <row r="593" spans="7:8" ht="15.75" customHeight="1" x14ac:dyDescent="0.25">
      <c r="G593" s="6"/>
      <c r="H593" s="4"/>
    </row>
    <row r="594" spans="7:8" ht="15.75" customHeight="1" x14ac:dyDescent="0.25">
      <c r="G594" s="6"/>
      <c r="H594" s="4"/>
    </row>
    <row r="595" spans="7:8" ht="15.75" customHeight="1" x14ac:dyDescent="0.25">
      <c r="G595" s="6"/>
      <c r="H595" s="4"/>
    </row>
    <row r="596" spans="7:8" ht="15.75" customHeight="1" x14ac:dyDescent="0.25">
      <c r="G596" s="6"/>
      <c r="H596" s="4"/>
    </row>
    <row r="597" spans="7:8" ht="15.75" customHeight="1" x14ac:dyDescent="0.25">
      <c r="G597" s="6"/>
      <c r="H597" s="4"/>
    </row>
    <row r="598" spans="7:8" ht="15.75" customHeight="1" x14ac:dyDescent="0.25">
      <c r="G598" s="6"/>
      <c r="H598" s="4"/>
    </row>
    <row r="599" spans="7:8" ht="15.75" customHeight="1" x14ac:dyDescent="0.25">
      <c r="G599" s="6"/>
      <c r="H599" s="4"/>
    </row>
    <row r="600" spans="7:8" ht="15.75" customHeight="1" x14ac:dyDescent="0.25">
      <c r="G600" s="6"/>
      <c r="H600" s="4"/>
    </row>
    <row r="601" spans="7:8" ht="15.75" customHeight="1" x14ac:dyDescent="0.25">
      <c r="G601" s="6"/>
      <c r="H601" s="4"/>
    </row>
    <row r="602" spans="7:8" ht="15.75" customHeight="1" x14ac:dyDescent="0.25">
      <c r="G602" s="6"/>
      <c r="H602" s="4"/>
    </row>
    <row r="603" spans="7:8" ht="15.75" customHeight="1" x14ac:dyDescent="0.25">
      <c r="G603" s="6"/>
      <c r="H603" s="4"/>
    </row>
    <row r="604" spans="7:8" ht="15.75" customHeight="1" x14ac:dyDescent="0.25">
      <c r="G604" s="6"/>
      <c r="H604" s="4"/>
    </row>
    <row r="605" spans="7:8" ht="15.75" customHeight="1" x14ac:dyDescent="0.25">
      <c r="G605" s="6"/>
      <c r="H605" s="4"/>
    </row>
    <row r="606" spans="7:8" ht="15.75" customHeight="1" x14ac:dyDescent="0.25">
      <c r="G606" s="6"/>
      <c r="H606" s="4"/>
    </row>
    <row r="607" spans="7:8" ht="15.75" customHeight="1" x14ac:dyDescent="0.25">
      <c r="G607" s="6"/>
      <c r="H607" s="4"/>
    </row>
    <row r="608" spans="7:8" ht="15.75" customHeight="1" x14ac:dyDescent="0.25">
      <c r="G608" s="6"/>
      <c r="H608" s="4"/>
    </row>
    <row r="609" spans="7:8" ht="15.75" customHeight="1" x14ac:dyDescent="0.25">
      <c r="G609" s="6"/>
      <c r="H609" s="4"/>
    </row>
    <row r="610" spans="7:8" ht="15.75" customHeight="1" x14ac:dyDescent="0.25">
      <c r="G610" s="6"/>
      <c r="H610" s="4"/>
    </row>
    <row r="611" spans="7:8" ht="15.75" customHeight="1" x14ac:dyDescent="0.25">
      <c r="G611" s="6"/>
      <c r="H611" s="4"/>
    </row>
    <row r="612" spans="7:8" ht="15.75" customHeight="1" x14ac:dyDescent="0.25">
      <c r="G612" s="6"/>
      <c r="H612" s="4"/>
    </row>
    <row r="613" spans="7:8" ht="15.75" customHeight="1" x14ac:dyDescent="0.25">
      <c r="G613" s="6"/>
      <c r="H613" s="4"/>
    </row>
    <row r="614" spans="7:8" ht="15.75" customHeight="1" x14ac:dyDescent="0.25">
      <c r="G614" s="6"/>
      <c r="H614" s="4"/>
    </row>
    <row r="615" spans="7:8" ht="15.75" customHeight="1" x14ac:dyDescent="0.25">
      <c r="G615" s="6"/>
      <c r="H615" s="4"/>
    </row>
    <row r="616" spans="7:8" ht="15.75" customHeight="1" x14ac:dyDescent="0.25">
      <c r="G616" s="6"/>
      <c r="H616" s="4"/>
    </row>
    <row r="617" spans="7:8" ht="15.75" customHeight="1" x14ac:dyDescent="0.25">
      <c r="G617" s="6"/>
      <c r="H617" s="4"/>
    </row>
    <row r="618" spans="7:8" ht="15.75" customHeight="1" x14ac:dyDescent="0.25">
      <c r="G618" s="6"/>
      <c r="H618" s="4"/>
    </row>
    <row r="619" spans="7:8" ht="15.75" customHeight="1" x14ac:dyDescent="0.25">
      <c r="G619" s="6"/>
      <c r="H619" s="4"/>
    </row>
    <row r="620" spans="7:8" ht="15.75" customHeight="1" x14ac:dyDescent="0.25">
      <c r="G620" s="6"/>
      <c r="H620" s="4"/>
    </row>
    <row r="621" spans="7:8" ht="15.75" customHeight="1" x14ac:dyDescent="0.25">
      <c r="G621" s="6"/>
      <c r="H621" s="4"/>
    </row>
    <row r="622" spans="7:8" ht="15.75" customHeight="1" x14ac:dyDescent="0.25">
      <c r="G622" s="6"/>
      <c r="H622" s="4"/>
    </row>
    <row r="623" spans="7:8" ht="15.75" customHeight="1" x14ac:dyDescent="0.25">
      <c r="G623" s="6"/>
      <c r="H623" s="4"/>
    </row>
    <row r="624" spans="7:8" ht="15.75" customHeight="1" x14ac:dyDescent="0.25">
      <c r="G624" s="6"/>
      <c r="H624" s="4"/>
    </row>
    <row r="625" spans="7:8" ht="15.75" customHeight="1" x14ac:dyDescent="0.25">
      <c r="G625" s="6"/>
      <c r="H625" s="4"/>
    </row>
    <row r="626" spans="7:8" ht="15.75" customHeight="1" x14ac:dyDescent="0.25">
      <c r="G626" s="6"/>
      <c r="H626" s="4"/>
    </row>
    <row r="627" spans="7:8" ht="15.75" customHeight="1" x14ac:dyDescent="0.25">
      <c r="G627" s="6"/>
      <c r="H627" s="4"/>
    </row>
    <row r="628" spans="7:8" ht="15.75" customHeight="1" x14ac:dyDescent="0.25">
      <c r="G628" s="6"/>
      <c r="H628" s="4"/>
    </row>
    <row r="629" spans="7:8" ht="15.75" customHeight="1" x14ac:dyDescent="0.25">
      <c r="G629" s="6"/>
      <c r="H629" s="4"/>
    </row>
    <row r="630" spans="7:8" ht="15.75" customHeight="1" x14ac:dyDescent="0.25">
      <c r="G630" s="6"/>
      <c r="H630" s="4"/>
    </row>
    <row r="631" spans="7:8" ht="15.75" customHeight="1" x14ac:dyDescent="0.25">
      <c r="G631" s="6"/>
      <c r="H631" s="4"/>
    </row>
    <row r="632" spans="7:8" ht="15.75" customHeight="1" x14ac:dyDescent="0.25">
      <c r="G632" s="6"/>
      <c r="H632" s="4"/>
    </row>
    <row r="633" spans="7:8" ht="15.75" customHeight="1" x14ac:dyDescent="0.25">
      <c r="G633" s="6"/>
      <c r="H633" s="4"/>
    </row>
    <row r="634" spans="7:8" ht="15.75" customHeight="1" x14ac:dyDescent="0.25">
      <c r="G634" s="6"/>
      <c r="H634" s="4"/>
    </row>
    <row r="635" spans="7:8" ht="15.75" customHeight="1" x14ac:dyDescent="0.25">
      <c r="G635" s="6"/>
      <c r="H635" s="4"/>
    </row>
    <row r="636" spans="7:8" ht="15.75" customHeight="1" x14ac:dyDescent="0.25">
      <c r="G636" s="6"/>
      <c r="H636" s="4"/>
    </row>
    <row r="637" spans="7:8" ht="15.75" customHeight="1" x14ac:dyDescent="0.25">
      <c r="G637" s="6"/>
      <c r="H637" s="4"/>
    </row>
    <row r="638" spans="7:8" ht="15.75" customHeight="1" x14ac:dyDescent="0.25">
      <c r="G638" s="6"/>
      <c r="H638" s="4"/>
    </row>
    <row r="639" spans="7:8" ht="15.75" customHeight="1" x14ac:dyDescent="0.25">
      <c r="G639" s="6"/>
      <c r="H639" s="4"/>
    </row>
    <row r="640" spans="7:8" ht="15.75" customHeight="1" x14ac:dyDescent="0.25">
      <c r="G640" s="6"/>
      <c r="H640" s="4"/>
    </row>
    <row r="641" spans="7:8" ht="15.75" customHeight="1" x14ac:dyDescent="0.25">
      <c r="G641" s="6"/>
      <c r="H641" s="4"/>
    </row>
    <row r="642" spans="7:8" ht="15.75" customHeight="1" x14ac:dyDescent="0.25">
      <c r="G642" s="6"/>
      <c r="H642" s="4"/>
    </row>
    <row r="643" spans="7:8" ht="15.75" customHeight="1" x14ac:dyDescent="0.25">
      <c r="G643" s="6"/>
      <c r="H643" s="4"/>
    </row>
    <row r="644" spans="7:8" ht="15.75" customHeight="1" x14ac:dyDescent="0.25">
      <c r="G644" s="6"/>
      <c r="H644" s="4"/>
    </row>
    <row r="645" spans="7:8" ht="15.75" customHeight="1" x14ac:dyDescent="0.25">
      <c r="G645" s="6"/>
      <c r="H645" s="4"/>
    </row>
    <row r="646" spans="7:8" ht="15.75" customHeight="1" x14ac:dyDescent="0.25">
      <c r="G646" s="6"/>
      <c r="H646" s="4"/>
    </row>
    <row r="647" spans="7:8" ht="15.75" customHeight="1" x14ac:dyDescent="0.25">
      <c r="G647" s="6"/>
      <c r="H647" s="4"/>
    </row>
    <row r="648" spans="7:8" ht="15.75" customHeight="1" x14ac:dyDescent="0.25">
      <c r="G648" s="6"/>
      <c r="H648" s="4"/>
    </row>
    <row r="649" spans="7:8" ht="15.75" customHeight="1" x14ac:dyDescent="0.25">
      <c r="G649" s="6"/>
      <c r="H649" s="4"/>
    </row>
    <row r="650" spans="7:8" ht="15.75" customHeight="1" x14ac:dyDescent="0.25">
      <c r="G650" s="6"/>
      <c r="H650" s="4"/>
    </row>
    <row r="651" spans="7:8" ht="15.75" customHeight="1" x14ac:dyDescent="0.25">
      <c r="G651" s="6"/>
      <c r="H651" s="4"/>
    </row>
    <row r="652" spans="7:8" ht="15.75" customHeight="1" x14ac:dyDescent="0.25">
      <c r="G652" s="6"/>
      <c r="H652" s="4"/>
    </row>
    <row r="653" spans="7:8" ht="15.75" customHeight="1" x14ac:dyDescent="0.25">
      <c r="G653" s="6"/>
      <c r="H653" s="4"/>
    </row>
    <row r="654" spans="7:8" ht="15.75" customHeight="1" x14ac:dyDescent="0.25">
      <c r="G654" s="6"/>
      <c r="H654" s="4"/>
    </row>
    <row r="655" spans="7:8" ht="15.75" customHeight="1" x14ac:dyDescent="0.25">
      <c r="G655" s="6"/>
      <c r="H655" s="4"/>
    </row>
    <row r="656" spans="7:8" ht="15.75" customHeight="1" x14ac:dyDescent="0.25">
      <c r="G656" s="6"/>
      <c r="H656" s="4"/>
    </row>
    <row r="657" spans="7:8" ht="15.75" customHeight="1" x14ac:dyDescent="0.25">
      <c r="G657" s="6"/>
      <c r="H657" s="4"/>
    </row>
    <row r="658" spans="7:8" ht="15.75" customHeight="1" x14ac:dyDescent="0.25">
      <c r="G658" s="6"/>
      <c r="H658" s="4"/>
    </row>
    <row r="659" spans="7:8" ht="15.75" customHeight="1" x14ac:dyDescent="0.25">
      <c r="G659" s="6"/>
      <c r="H659" s="4"/>
    </row>
    <row r="660" spans="7:8" ht="15.75" customHeight="1" x14ac:dyDescent="0.25">
      <c r="G660" s="6"/>
      <c r="H660" s="4"/>
    </row>
    <row r="661" spans="7:8" ht="15.75" customHeight="1" x14ac:dyDescent="0.25">
      <c r="G661" s="6"/>
      <c r="H661" s="4"/>
    </row>
    <row r="662" spans="7:8" ht="15.75" customHeight="1" x14ac:dyDescent="0.25">
      <c r="G662" s="6"/>
      <c r="H662" s="4"/>
    </row>
    <row r="663" spans="7:8" ht="15.75" customHeight="1" x14ac:dyDescent="0.25">
      <c r="G663" s="6"/>
      <c r="H663" s="4"/>
    </row>
    <row r="664" spans="7:8" ht="15.75" customHeight="1" x14ac:dyDescent="0.25">
      <c r="G664" s="6"/>
      <c r="H664" s="4"/>
    </row>
    <row r="665" spans="7:8" ht="15.75" customHeight="1" x14ac:dyDescent="0.25">
      <c r="G665" s="6"/>
      <c r="H665" s="4"/>
    </row>
    <row r="666" spans="7:8" ht="15.75" customHeight="1" x14ac:dyDescent="0.25">
      <c r="G666" s="6"/>
      <c r="H666" s="4"/>
    </row>
    <row r="667" spans="7:8" ht="15.75" customHeight="1" x14ac:dyDescent="0.25">
      <c r="G667" s="6"/>
      <c r="H667" s="4"/>
    </row>
    <row r="668" spans="7:8" ht="15.75" customHeight="1" x14ac:dyDescent="0.25">
      <c r="G668" s="6"/>
      <c r="H668" s="4"/>
    </row>
    <row r="669" spans="7:8" ht="15.75" customHeight="1" x14ac:dyDescent="0.25">
      <c r="G669" s="6"/>
      <c r="H669" s="4"/>
    </row>
    <row r="670" spans="7:8" ht="15.75" customHeight="1" x14ac:dyDescent="0.25">
      <c r="G670" s="6"/>
      <c r="H670" s="4"/>
    </row>
    <row r="671" spans="7:8" ht="15.75" customHeight="1" x14ac:dyDescent="0.25">
      <c r="G671" s="6"/>
      <c r="H671" s="4"/>
    </row>
    <row r="672" spans="7:8" ht="15.75" customHeight="1" x14ac:dyDescent="0.25">
      <c r="G672" s="6"/>
      <c r="H672" s="4"/>
    </row>
    <row r="673" spans="7:8" ht="15.75" customHeight="1" x14ac:dyDescent="0.25">
      <c r="G673" s="6"/>
      <c r="H673" s="4"/>
    </row>
    <row r="674" spans="7:8" ht="15.75" customHeight="1" x14ac:dyDescent="0.25">
      <c r="G674" s="6"/>
      <c r="H674" s="4"/>
    </row>
    <row r="675" spans="7:8" ht="15.75" customHeight="1" x14ac:dyDescent="0.25">
      <c r="G675" s="6"/>
      <c r="H675" s="4"/>
    </row>
    <row r="676" spans="7:8" ht="15.75" customHeight="1" x14ac:dyDescent="0.25">
      <c r="G676" s="6"/>
      <c r="H676" s="4"/>
    </row>
    <row r="677" spans="7:8" ht="15.75" customHeight="1" x14ac:dyDescent="0.25">
      <c r="G677" s="6"/>
      <c r="H677" s="4"/>
    </row>
    <row r="678" spans="7:8" ht="15.75" customHeight="1" x14ac:dyDescent="0.25">
      <c r="G678" s="6"/>
      <c r="H678" s="4"/>
    </row>
    <row r="679" spans="7:8" ht="15.75" customHeight="1" x14ac:dyDescent="0.25">
      <c r="G679" s="6"/>
      <c r="H679" s="4"/>
    </row>
    <row r="680" spans="7:8" ht="15.75" customHeight="1" x14ac:dyDescent="0.25">
      <c r="G680" s="6"/>
      <c r="H680" s="4"/>
    </row>
    <row r="681" spans="7:8" ht="15.75" customHeight="1" x14ac:dyDescent="0.25">
      <c r="G681" s="6"/>
      <c r="H681" s="4"/>
    </row>
    <row r="682" spans="7:8" ht="15.75" customHeight="1" x14ac:dyDescent="0.25">
      <c r="G682" s="6"/>
      <c r="H682" s="4"/>
    </row>
    <row r="683" spans="7:8" ht="15.75" customHeight="1" x14ac:dyDescent="0.25">
      <c r="G683" s="6"/>
      <c r="H683" s="4"/>
    </row>
    <row r="684" spans="7:8" ht="15.75" customHeight="1" x14ac:dyDescent="0.25">
      <c r="G684" s="6"/>
      <c r="H684" s="4"/>
    </row>
    <row r="685" spans="7:8" ht="15.75" customHeight="1" x14ac:dyDescent="0.25">
      <c r="G685" s="6"/>
      <c r="H685" s="4"/>
    </row>
    <row r="686" spans="7:8" ht="15.75" customHeight="1" x14ac:dyDescent="0.25">
      <c r="G686" s="6"/>
      <c r="H686" s="4"/>
    </row>
    <row r="687" spans="7:8" ht="15.75" customHeight="1" x14ac:dyDescent="0.25">
      <c r="G687" s="6"/>
      <c r="H687" s="4"/>
    </row>
    <row r="688" spans="7:8" ht="15.75" customHeight="1" x14ac:dyDescent="0.25">
      <c r="G688" s="6"/>
      <c r="H688" s="4"/>
    </row>
    <row r="689" spans="7:8" ht="15.75" customHeight="1" x14ac:dyDescent="0.25">
      <c r="G689" s="6"/>
      <c r="H689" s="4"/>
    </row>
    <row r="690" spans="7:8" ht="15.75" customHeight="1" x14ac:dyDescent="0.25">
      <c r="G690" s="6"/>
      <c r="H690" s="4"/>
    </row>
    <row r="691" spans="7:8" ht="15.75" customHeight="1" x14ac:dyDescent="0.25">
      <c r="G691" s="6"/>
      <c r="H691" s="4"/>
    </row>
    <row r="692" spans="7:8" ht="15.75" customHeight="1" x14ac:dyDescent="0.25">
      <c r="G692" s="6"/>
      <c r="H692" s="4"/>
    </row>
    <row r="693" spans="7:8" ht="15.75" customHeight="1" x14ac:dyDescent="0.25">
      <c r="G693" s="6"/>
      <c r="H693" s="4"/>
    </row>
    <row r="694" spans="7:8" ht="15.75" customHeight="1" x14ac:dyDescent="0.25">
      <c r="G694" s="6"/>
      <c r="H694" s="4"/>
    </row>
    <row r="695" spans="7:8" ht="15.75" customHeight="1" x14ac:dyDescent="0.25">
      <c r="G695" s="6"/>
      <c r="H695" s="4"/>
    </row>
    <row r="696" spans="7:8" ht="15.75" customHeight="1" x14ac:dyDescent="0.25">
      <c r="G696" s="6"/>
      <c r="H696" s="4"/>
    </row>
    <row r="697" spans="7:8" ht="15.75" customHeight="1" x14ac:dyDescent="0.25">
      <c r="G697" s="6"/>
      <c r="H697" s="4"/>
    </row>
    <row r="698" spans="7:8" ht="15.75" customHeight="1" x14ac:dyDescent="0.25">
      <c r="G698" s="6"/>
      <c r="H698" s="4"/>
    </row>
    <row r="699" spans="7:8" ht="15.75" customHeight="1" x14ac:dyDescent="0.25">
      <c r="G699" s="6"/>
      <c r="H699" s="4"/>
    </row>
    <row r="700" spans="7:8" ht="15.75" customHeight="1" x14ac:dyDescent="0.25">
      <c r="G700" s="6"/>
      <c r="H700" s="4"/>
    </row>
    <row r="701" spans="7:8" ht="15.75" customHeight="1" x14ac:dyDescent="0.25">
      <c r="G701" s="6"/>
      <c r="H701" s="4"/>
    </row>
    <row r="702" spans="7:8" ht="15.75" customHeight="1" x14ac:dyDescent="0.25">
      <c r="G702" s="6"/>
      <c r="H702" s="4"/>
    </row>
    <row r="703" spans="7:8" ht="15.75" customHeight="1" x14ac:dyDescent="0.25">
      <c r="G703" s="6"/>
      <c r="H703" s="4"/>
    </row>
    <row r="704" spans="7:8" ht="15.75" customHeight="1" x14ac:dyDescent="0.25">
      <c r="G704" s="6"/>
      <c r="H704" s="4"/>
    </row>
    <row r="705" spans="7:8" ht="15.75" customHeight="1" x14ac:dyDescent="0.25">
      <c r="G705" s="6"/>
      <c r="H705" s="4"/>
    </row>
    <row r="706" spans="7:8" ht="15.75" customHeight="1" x14ac:dyDescent="0.25">
      <c r="G706" s="6"/>
      <c r="H706" s="4"/>
    </row>
    <row r="707" spans="7:8" ht="15.75" customHeight="1" x14ac:dyDescent="0.25">
      <c r="G707" s="6"/>
      <c r="H707" s="4"/>
    </row>
    <row r="708" spans="7:8" ht="15.75" customHeight="1" x14ac:dyDescent="0.25">
      <c r="G708" s="6"/>
      <c r="H708" s="4"/>
    </row>
    <row r="709" spans="7:8" ht="15.75" customHeight="1" x14ac:dyDescent="0.25">
      <c r="G709" s="6"/>
      <c r="H709" s="4"/>
    </row>
    <row r="710" spans="7:8" ht="15.75" customHeight="1" x14ac:dyDescent="0.25">
      <c r="G710" s="6"/>
      <c r="H710" s="4"/>
    </row>
    <row r="711" spans="7:8" ht="15.75" customHeight="1" x14ac:dyDescent="0.25">
      <c r="G711" s="6"/>
      <c r="H711" s="4"/>
    </row>
    <row r="712" spans="7:8" ht="15.75" customHeight="1" x14ac:dyDescent="0.25">
      <c r="G712" s="6"/>
      <c r="H712" s="4"/>
    </row>
    <row r="713" spans="7:8" ht="15.75" customHeight="1" x14ac:dyDescent="0.25">
      <c r="G713" s="6"/>
      <c r="H713" s="4"/>
    </row>
    <row r="714" spans="7:8" ht="15.75" customHeight="1" x14ac:dyDescent="0.25">
      <c r="G714" s="6"/>
      <c r="H714" s="4"/>
    </row>
    <row r="715" spans="7:8" ht="15.75" customHeight="1" x14ac:dyDescent="0.25">
      <c r="G715" s="6"/>
      <c r="H715" s="4"/>
    </row>
    <row r="716" spans="7:8" ht="15.75" customHeight="1" x14ac:dyDescent="0.25">
      <c r="G716" s="6"/>
      <c r="H716" s="4"/>
    </row>
    <row r="717" spans="7:8" ht="15.75" customHeight="1" x14ac:dyDescent="0.25">
      <c r="G717" s="6"/>
      <c r="H717" s="4"/>
    </row>
    <row r="718" spans="7:8" ht="15.75" customHeight="1" x14ac:dyDescent="0.25">
      <c r="G718" s="6"/>
      <c r="H718" s="4"/>
    </row>
    <row r="719" spans="7:8" ht="15.75" customHeight="1" x14ac:dyDescent="0.25">
      <c r="G719" s="6"/>
      <c r="H719" s="4"/>
    </row>
    <row r="720" spans="7:8" ht="15.75" customHeight="1" x14ac:dyDescent="0.25">
      <c r="G720" s="6"/>
      <c r="H720" s="4"/>
    </row>
    <row r="721" spans="7:8" ht="15.75" customHeight="1" x14ac:dyDescent="0.25">
      <c r="G721" s="6"/>
      <c r="H721" s="4"/>
    </row>
    <row r="722" spans="7:8" ht="15.75" customHeight="1" x14ac:dyDescent="0.25">
      <c r="G722" s="6"/>
      <c r="H722" s="4"/>
    </row>
    <row r="723" spans="7:8" ht="15.75" customHeight="1" x14ac:dyDescent="0.25">
      <c r="G723" s="6"/>
      <c r="H723" s="4"/>
    </row>
    <row r="724" spans="7:8" ht="15.75" customHeight="1" x14ac:dyDescent="0.25">
      <c r="G724" s="6"/>
      <c r="H724" s="4"/>
    </row>
    <row r="725" spans="7:8" ht="15.75" customHeight="1" x14ac:dyDescent="0.25">
      <c r="G725" s="6"/>
      <c r="H725" s="4"/>
    </row>
    <row r="726" spans="7:8" ht="15.75" customHeight="1" x14ac:dyDescent="0.25">
      <c r="G726" s="6"/>
      <c r="H726" s="4"/>
    </row>
    <row r="727" spans="7:8" ht="15.75" customHeight="1" x14ac:dyDescent="0.25">
      <c r="G727" s="6"/>
      <c r="H727" s="4"/>
    </row>
    <row r="728" spans="7:8" ht="15.75" customHeight="1" x14ac:dyDescent="0.25">
      <c r="G728" s="6"/>
      <c r="H728" s="4"/>
    </row>
    <row r="729" spans="7:8" ht="15.75" customHeight="1" x14ac:dyDescent="0.25">
      <c r="G729" s="6"/>
      <c r="H729" s="4"/>
    </row>
    <row r="730" spans="7:8" ht="15.75" customHeight="1" x14ac:dyDescent="0.25">
      <c r="G730" s="6"/>
      <c r="H730" s="4"/>
    </row>
    <row r="731" spans="7:8" ht="15.75" customHeight="1" x14ac:dyDescent="0.25">
      <c r="G731" s="6"/>
      <c r="H731" s="4"/>
    </row>
    <row r="732" spans="7:8" ht="15.75" customHeight="1" x14ac:dyDescent="0.25">
      <c r="G732" s="6"/>
      <c r="H732" s="4"/>
    </row>
    <row r="733" spans="7:8" ht="15.75" customHeight="1" x14ac:dyDescent="0.25">
      <c r="G733" s="6"/>
      <c r="H733" s="4"/>
    </row>
    <row r="734" spans="7:8" ht="15.75" customHeight="1" x14ac:dyDescent="0.25">
      <c r="G734" s="6"/>
      <c r="H734" s="4"/>
    </row>
    <row r="735" spans="7:8" ht="15.75" customHeight="1" x14ac:dyDescent="0.25">
      <c r="G735" s="6"/>
      <c r="H735" s="4"/>
    </row>
    <row r="736" spans="7:8" ht="15.75" customHeight="1" x14ac:dyDescent="0.25">
      <c r="G736" s="6"/>
      <c r="H736" s="4"/>
    </row>
    <row r="737" spans="7:8" ht="15.75" customHeight="1" x14ac:dyDescent="0.25">
      <c r="G737" s="6"/>
      <c r="H737" s="4"/>
    </row>
    <row r="738" spans="7:8" ht="15.75" customHeight="1" x14ac:dyDescent="0.25">
      <c r="G738" s="6"/>
      <c r="H738" s="4"/>
    </row>
    <row r="739" spans="7:8" ht="15.75" customHeight="1" x14ac:dyDescent="0.25">
      <c r="G739" s="6"/>
      <c r="H739" s="4"/>
    </row>
    <row r="740" spans="7:8" ht="15.75" customHeight="1" x14ac:dyDescent="0.25">
      <c r="G740" s="6"/>
      <c r="H740" s="4"/>
    </row>
    <row r="741" spans="7:8" ht="15.75" customHeight="1" x14ac:dyDescent="0.25">
      <c r="G741" s="6"/>
      <c r="H741" s="4"/>
    </row>
    <row r="742" spans="7:8" ht="15.75" customHeight="1" x14ac:dyDescent="0.25">
      <c r="G742" s="6"/>
      <c r="H742" s="4"/>
    </row>
    <row r="743" spans="7:8" ht="15.75" customHeight="1" x14ac:dyDescent="0.25">
      <c r="G743" s="6"/>
      <c r="H743" s="4"/>
    </row>
    <row r="744" spans="7:8" ht="15.75" customHeight="1" x14ac:dyDescent="0.25">
      <c r="G744" s="6"/>
      <c r="H744" s="4"/>
    </row>
    <row r="745" spans="7:8" ht="15.75" customHeight="1" x14ac:dyDescent="0.25">
      <c r="G745" s="6"/>
      <c r="H745" s="4"/>
    </row>
    <row r="746" spans="7:8" ht="15.75" customHeight="1" x14ac:dyDescent="0.25">
      <c r="G746" s="6"/>
      <c r="H746" s="4"/>
    </row>
    <row r="747" spans="7:8" ht="15.75" customHeight="1" x14ac:dyDescent="0.25">
      <c r="G747" s="6"/>
      <c r="H747" s="4"/>
    </row>
    <row r="748" spans="7:8" ht="15.75" customHeight="1" x14ac:dyDescent="0.25">
      <c r="G748" s="6"/>
      <c r="H748" s="4"/>
    </row>
    <row r="749" spans="7:8" ht="15.75" customHeight="1" x14ac:dyDescent="0.25">
      <c r="G749" s="6"/>
      <c r="H749" s="4"/>
    </row>
    <row r="750" spans="7:8" ht="15.75" customHeight="1" x14ac:dyDescent="0.25">
      <c r="G750" s="6"/>
      <c r="H750" s="4"/>
    </row>
    <row r="751" spans="7:8" ht="15.75" customHeight="1" x14ac:dyDescent="0.25">
      <c r="G751" s="6"/>
      <c r="H751" s="4"/>
    </row>
    <row r="752" spans="7:8" ht="15.75" customHeight="1" x14ac:dyDescent="0.25">
      <c r="G752" s="6"/>
      <c r="H752" s="4"/>
    </row>
    <row r="753" spans="7:8" ht="15.75" customHeight="1" x14ac:dyDescent="0.25">
      <c r="G753" s="6"/>
      <c r="H753" s="4"/>
    </row>
    <row r="754" spans="7:8" ht="15.75" customHeight="1" x14ac:dyDescent="0.25">
      <c r="G754" s="6"/>
      <c r="H754" s="4"/>
    </row>
    <row r="755" spans="7:8" ht="15.75" customHeight="1" x14ac:dyDescent="0.25">
      <c r="G755" s="6"/>
      <c r="H755" s="4"/>
    </row>
    <row r="756" spans="7:8" ht="15.75" customHeight="1" x14ac:dyDescent="0.25">
      <c r="G756" s="6"/>
      <c r="H756" s="4"/>
    </row>
    <row r="757" spans="7:8" ht="15.75" customHeight="1" x14ac:dyDescent="0.25">
      <c r="G757" s="6"/>
      <c r="H757" s="4"/>
    </row>
    <row r="758" spans="7:8" ht="15.75" customHeight="1" x14ac:dyDescent="0.25">
      <c r="G758" s="6"/>
      <c r="H758" s="4"/>
    </row>
    <row r="759" spans="7:8" ht="15.75" customHeight="1" x14ac:dyDescent="0.25">
      <c r="G759" s="6"/>
      <c r="H759" s="4"/>
    </row>
    <row r="760" spans="7:8" ht="15.75" customHeight="1" x14ac:dyDescent="0.25">
      <c r="G760" s="6"/>
      <c r="H760" s="4"/>
    </row>
    <row r="761" spans="7:8" ht="15.75" customHeight="1" x14ac:dyDescent="0.25">
      <c r="G761" s="6"/>
      <c r="H761" s="4"/>
    </row>
    <row r="762" spans="7:8" ht="15.75" customHeight="1" x14ac:dyDescent="0.25">
      <c r="G762" s="6"/>
      <c r="H762" s="4"/>
    </row>
    <row r="763" spans="7:8" ht="15.75" customHeight="1" x14ac:dyDescent="0.25">
      <c r="G763" s="6"/>
      <c r="H763" s="4"/>
    </row>
    <row r="764" spans="7:8" ht="15.75" customHeight="1" x14ac:dyDescent="0.25">
      <c r="G764" s="6"/>
      <c r="H764" s="4"/>
    </row>
    <row r="765" spans="7:8" ht="15.75" customHeight="1" x14ac:dyDescent="0.25">
      <c r="G765" s="6"/>
      <c r="H765" s="4"/>
    </row>
    <row r="766" spans="7:8" ht="15.75" customHeight="1" x14ac:dyDescent="0.25">
      <c r="G766" s="6"/>
      <c r="H766" s="4"/>
    </row>
    <row r="767" spans="7:8" ht="15.75" customHeight="1" x14ac:dyDescent="0.25">
      <c r="G767" s="6"/>
      <c r="H767" s="4"/>
    </row>
    <row r="768" spans="7:8" ht="15.75" customHeight="1" x14ac:dyDescent="0.25">
      <c r="G768" s="6"/>
      <c r="H768" s="4"/>
    </row>
    <row r="769" spans="7:8" ht="15.75" customHeight="1" x14ac:dyDescent="0.25">
      <c r="G769" s="6"/>
      <c r="H769" s="4"/>
    </row>
    <row r="770" spans="7:8" ht="15.75" customHeight="1" x14ac:dyDescent="0.25">
      <c r="G770" s="6"/>
      <c r="H770" s="4"/>
    </row>
    <row r="771" spans="7:8" ht="15.75" customHeight="1" x14ac:dyDescent="0.25">
      <c r="G771" s="6"/>
      <c r="H771" s="4"/>
    </row>
    <row r="772" spans="7:8" ht="15.75" customHeight="1" x14ac:dyDescent="0.25">
      <c r="G772" s="6"/>
      <c r="H772" s="4"/>
    </row>
    <row r="773" spans="7:8" ht="15.75" customHeight="1" x14ac:dyDescent="0.25">
      <c r="G773" s="6"/>
      <c r="H773" s="4"/>
    </row>
    <row r="774" spans="7:8" ht="15.75" customHeight="1" x14ac:dyDescent="0.25">
      <c r="G774" s="6"/>
      <c r="H774" s="4"/>
    </row>
    <row r="775" spans="7:8" ht="15.75" customHeight="1" x14ac:dyDescent="0.25">
      <c r="G775" s="6"/>
      <c r="H775" s="4"/>
    </row>
    <row r="776" spans="7:8" ht="15.75" customHeight="1" x14ac:dyDescent="0.25">
      <c r="G776" s="6"/>
      <c r="H776" s="4"/>
    </row>
    <row r="777" spans="7:8" ht="15.75" customHeight="1" x14ac:dyDescent="0.25">
      <c r="G777" s="6"/>
      <c r="H777" s="4"/>
    </row>
    <row r="778" spans="7:8" ht="15.75" customHeight="1" x14ac:dyDescent="0.25">
      <c r="G778" s="6"/>
      <c r="H778" s="4"/>
    </row>
    <row r="779" spans="7:8" ht="15.75" customHeight="1" x14ac:dyDescent="0.25">
      <c r="G779" s="6"/>
      <c r="H779" s="4"/>
    </row>
    <row r="780" spans="7:8" ht="15.75" customHeight="1" x14ac:dyDescent="0.25">
      <c r="G780" s="6"/>
      <c r="H780" s="4"/>
    </row>
    <row r="781" spans="7:8" ht="15.75" customHeight="1" x14ac:dyDescent="0.25">
      <c r="G781" s="6"/>
      <c r="H781" s="4"/>
    </row>
    <row r="782" spans="7:8" ht="15.75" customHeight="1" x14ac:dyDescent="0.25">
      <c r="G782" s="6"/>
      <c r="H782" s="4"/>
    </row>
    <row r="783" spans="7:8" ht="15.75" customHeight="1" x14ac:dyDescent="0.25">
      <c r="G783" s="6"/>
      <c r="H783" s="4"/>
    </row>
    <row r="784" spans="7:8" ht="15.75" customHeight="1" x14ac:dyDescent="0.25">
      <c r="G784" s="6"/>
      <c r="H784" s="4"/>
    </row>
    <row r="785" spans="7:8" ht="15.75" customHeight="1" x14ac:dyDescent="0.25">
      <c r="G785" s="6"/>
      <c r="H785" s="4"/>
    </row>
    <row r="786" spans="7:8" ht="15.75" customHeight="1" x14ac:dyDescent="0.25">
      <c r="G786" s="6"/>
      <c r="H786" s="4"/>
    </row>
    <row r="787" spans="7:8" ht="15.75" customHeight="1" x14ac:dyDescent="0.25">
      <c r="G787" s="6"/>
      <c r="H787" s="4"/>
    </row>
    <row r="788" spans="7:8" ht="15.75" customHeight="1" x14ac:dyDescent="0.25">
      <c r="G788" s="6"/>
      <c r="H788" s="4"/>
    </row>
    <row r="789" spans="7:8" ht="15.75" customHeight="1" x14ac:dyDescent="0.25">
      <c r="G789" s="6"/>
      <c r="H789" s="4"/>
    </row>
    <row r="790" spans="7:8" ht="15.75" customHeight="1" x14ac:dyDescent="0.25">
      <c r="G790" s="6"/>
      <c r="H790" s="4"/>
    </row>
    <row r="791" spans="7:8" ht="15.75" customHeight="1" x14ac:dyDescent="0.25">
      <c r="G791" s="6"/>
      <c r="H791" s="4"/>
    </row>
    <row r="792" spans="7:8" ht="15.75" customHeight="1" x14ac:dyDescent="0.25">
      <c r="G792" s="6"/>
      <c r="H792" s="4"/>
    </row>
    <row r="793" spans="7:8" ht="15.75" customHeight="1" x14ac:dyDescent="0.25">
      <c r="G793" s="6"/>
      <c r="H793" s="4"/>
    </row>
    <row r="794" spans="7:8" ht="15.75" customHeight="1" x14ac:dyDescent="0.25">
      <c r="G794" s="6"/>
      <c r="H794" s="4"/>
    </row>
    <row r="795" spans="7:8" ht="15.75" customHeight="1" x14ac:dyDescent="0.25">
      <c r="G795" s="6"/>
      <c r="H795" s="4"/>
    </row>
    <row r="796" spans="7:8" ht="15.75" customHeight="1" x14ac:dyDescent="0.25">
      <c r="G796" s="6"/>
      <c r="H796" s="4"/>
    </row>
    <row r="797" spans="7:8" ht="15.75" customHeight="1" x14ac:dyDescent="0.25">
      <c r="G797" s="6"/>
      <c r="H797" s="4"/>
    </row>
    <row r="798" spans="7:8" ht="15.75" customHeight="1" x14ac:dyDescent="0.25">
      <c r="G798" s="6"/>
      <c r="H798" s="4"/>
    </row>
    <row r="799" spans="7:8" ht="15.75" customHeight="1" x14ac:dyDescent="0.25">
      <c r="G799" s="6"/>
      <c r="H799" s="4"/>
    </row>
    <row r="800" spans="7:8" ht="15.75" customHeight="1" x14ac:dyDescent="0.25">
      <c r="G800" s="6"/>
      <c r="H800" s="4"/>
    </row>
    <row r="801" spans="7:8" ht="15.75" customHeight="1" x14ac:dyDescent="0.25">
      <c r="G801" s="6"/>
      <c r="H801" s="4"/>
    </row>
    <row r="802" spans="7:8" ht="15.75" customHeight="1" x14ac:dyDescent="0.25">
      <c r="G802" s="6"/>
      <c r="H802" s="4"/>
    </row>
    <row r="803" spans="7:8" ht="15.75" customHeight="1" x14ac:dyDescent="0.25">
      <c r="G803" s="6"/>
      <c r="H803" s="4"/>
    </row>
    <row r="804" spans="7:8" ht="15.75" customHeight="1" x14ac:dyDescent="0.25">
      <c r="G804" s="6"/>
      <c r="H804" s="4"/>
    </row>
    <row r="805" spans="7:8" ht="15.75" customHeight="1" x14ac:dyDescent="0.25">
      <c r="G805" s="6"/>
      <c r="H805" s="4"/>
    </row>
    <row r="806" spans="7:8" ht="15.75" customHeight="1" x14ac:dyDescent="0.25">
      <c r="G806" s="6"/>
      <c r="H806" s="4"/>
    </row>
    <row r="807" spans="7:8" ht="15.75" customHeight="1" x14ac:dyDescent="0.25">
      <c r="G807" s="6"/>
      <c r="H807" s="4"/>
    </row>
    <row r="808" spans="7:8" ht="15.75" customHeight="1" x14ac:dyDescent="0.25">
      <c r="G808" s="6"/>
      <c r="H808" s="4"/>
    </row>
    <row r="809" spans="7:8" ht="15.75" customHeight="1" x14ac:dyDescent="0.25">
      <c r="G809" s="6"/>
      <c r="H809" s="4"/>
    </row>
    <row r="810" spans="7:8" ht="15.75" customHeight="1" x14ac:dyDescent="0.25">
      <c r="G810" s="6"/>
      <c r="H810" s="4"/>
    </row>
    <row r="811" spans="7:8" ht="15.75" customHeight="1" x14ac:dyDescent="0.25">
      <c r="G811" s="6"/>
      <c r="H811" s="4"/>
    </row>
    <row r="812" spans="7:8" ht="15.75" customHeight="1" x14ac:dyDescent="0.25">
      <c r="G812" s="6"/>
      <c r="H812" s="4"/>
    </row>
    <row r="813" spans="7:8" ht="15.75" customHeight="1" x14ac:dyDescent="0.25">
      <c r="G813" s="6"/>
      <c r="H813" s="4"/>
    </row>
    <row r="814" spans="7:8" ht="15.75" customHeight="1" x14ac:dyDescent="0.25">
      <c r="G814" s="6"/>
      <c r="H814" s="4"/>
    </row>
    <row r="815" spans="7:8" ht="15.75" customHeight="1" x14ac:dyDescent="0.25">
      <c r="G815" s="6"/>
      <c r="H815" s="4"/>
    </row>
    <row r="816" spans="7:8" ht="15.75" customHeight="1" x14ac:dyDescent="0.25">
      <c r="G816" s="6"/>
      <c r="H816" s="4"/>
    </row>
    <row r="817" spans="7:8" ht="15.75" customHeight="1" x14ac:dyDescent="0.25">
      <c r="G817" s="6"/>
      <c r="H817" s="4"/>
    </row>
    <row r="818" spans="7:8" ht="15.75" customHeight="1" x14ac:dyDescent="0.25">
      <c r="G818" s="6"/>
      <c r="H818" s="4"/>
    </row>
    <row r="819" spans="7:8" ht="15.75" customHeight="1" x14ac:dyDescent="0.25">
      <c r="G819" s="6"/>
      <c r="H819" s="4"/>
    </row>
    <row r="820" spans="7:8" ht="15.75" customHeight="1" x14ac:dyDescent="0.25">
      <c r="G820" s="6"/>
      <c r="H820" s="4"/>
    </row>
    <row r="821" spans="7:8" ht="15.75" customHeight="1" x14ac:dyDescent="0.25">
      <c r="G821" s="6"/>
      <c r="H821" s="4"/>
    </row>
    <row r="822" spans="7:8" ht="15.75" customHeight="1" x14ac:dyDescent="0.25">
      <c r="G822" s="6"/>
      <c r="H822" s="4"/>
    </row>
    <row r="823" spans="7:8" ht="15.75" customHeight="1" x14ac:dyDescent="0.25">
      <c r="G823" s="6"/>
      <c r="H823" s="4"/>
    </row>
    <row r="824" spans="7:8" ht="15.75" customHeight="1" x14ac:dyDescent="0.25">
      <c r="G824" s="6"/>
      <c r="H824" s="4"/>
    </row>
    <row r="825" spans="7:8" ht="15.75" customHeight="1" x14ac:dyDescent="0.25">
      <c r="G825" s="6"/>
      <c r="H825" s="4"/>
    </row>
    <row r="826" spans="7:8" ht="15.75" customHeight="1" x14ac:dyDescent="0.25">
      <c r="G826" s="6"/>
      <c r="H826" s="4"/>
    </row>
    <row r="827" spans="7:8" ht="15.75" customHeight="1" x14ac:dyDescent="0.25">
      <c r="G827" s="6"/>
      <c r="H827" s="4"/>
    </row>
    <row r="828" spans="7:8" ht="15.75" customHeight="1" x14ac:dyDescent="0.25">
      <c r="G828" s="6"/>
      <c r="H828" s="4"/>
    </row>
    <row r="829" spans="7:8" ht="15.75" customHeight="1" x14ac:dyDescent="0.25">
      <c r="G829" s="6"/>
      <c r="H829" s="4"/>
    </row>
    <row r="830" spans="7:8" ht="15.75" customHeight="1" x14ac:dyDescent="0.25">
      <c r="G830" s="6"/>
      <c r="H830" s="4"/>
    </row>
    <row r="831" spans="7:8" ht="15.75" customHeight="1" x14ac:dyDescent="0.25">
      <c r="G831" s="6"/>
      <c r="H831" s="4"/>
    </row>
    <row r="832" spans="7:8" ht="15.75" customHeight="1" x14ac:dyDescent="0.25">
      <c r="G832" s="6"/>
      <c r="H832" s="4"/>
    </row>
    <row r="833" spans="7:8" ht="15.75" customHeight="1" x14ac:dyDescent="0.25">
      <c r="G833" s="6"/>
      <c r="H833" s="4"/>
    </row>
    <row r="834" spans="7:8" ht="15.75" customHeight="1" x14ac:dyDescent="0.25">
      <c r="G834" s="6"/>
      <c r="H834" s="4"/>
    </row>
    <row r="835" spans="7:8" ht="15.75" customHeight="1" x14ac:dyDescent="0.25">
      <c r="G835" s="6"/>
      <c r="H835" s="4"/>
    </row>
    <row r="836" spans="7:8" ht="15.75" customHeight="1" x14ac:dyDescent="0.25">
      <c r="G836" s="6"/>
      <c r="H836" s="4"/>
    </row>
    <row r="837" spans="7:8" ht="15.75" customHeight="1" x14ac:dyDescent="0.25">
      <c r="G837" s="6"/>
      <c r="H837" s="4"/>
    </row>
    <row r="838" spans="7:8" ht="15.75" customHeight="1" x14ac:dyDescent="0.25">
      <c r="G838" s="6"/>
      <c r="H838" s="4"/>
    </row>
    <row r="839" spans="7:8" ht="15.75" customHeight="1" x14ac:dyDescent="0.25">
      <c r="G839" s="6"/>
      <c r="H839" s="4"/>
    </row>
    <row r="840" spans="7:8" ht="15.75" customHeight="1" x14ac:dyDescent="0.25">
      <c r="G840" s="6"/>
      <c r="H840" s="4"/>
    </row>
    <row r="841" spans="7:8" ht="15.75" customHeight="1" x14ac:dyDescent="0.25">
      <c r="G841" s="6"/>
      <c r="H841" s="4"/>
    </row>
    <row r="842" spans="7:8" ht="15.75" customHeight="1" x14ac:dyDescent="0.25">
      <c r="G842" s="6"/>
      <c r="H842" s="4"/>
    </row>
    <row r="843" spans="7:8" ht="15.75" customHeight="1" x14ac:dyDescent="0.25">
      <c r="G843" s="6"/>
      <c r="H843" s="4"/>
    </row>
    <row r="844" spans="7:8" ht="15.75" customHeight="1" x14ac:dyDescent="0.25">
      <c r="G844" s="6"/>
      <c r="H844" s="4"/>
    </row>
    <row r="845" spans="7:8" ht="15.75" customHeight="1" x14ac:dyDescent="0.25">
      <c r="G845" s="6"/>
      <c r="H845" s="4"/>
    </row>
    <row r="846" spans="7:8" ht="15.75" customHeight="1" x14ac:dyDescent="0.25">
      <c r="G846" s="6"/>
      <c r="H846" s="4"/>
    </row>
    <row r="847" spans="7:8" ht="15.75" customHeight="1" x14ac:dyDescent="0.25">
      <c r="G847" s="6"/>
      <c r="H847" s="4"/>
    </row>
    <row r="848" spans="7:8" ht="15.75" customHeight="1" x14ac:dyDescent="0.25">
      <c r="G848" s="6"/>
      <c r="H848" s="4"/>
    </row>
    <row r="849" spans="7:8" ht="15.75" customHeight="1" x14ac:dyDescent="0.25">
      <c r="G849" s="6"/>
      <c r="H849" s="4"/>
    </row>
    <row r="850" spans="7:8" ht="15.75" customHeight="1" x14ac:dyDescent="0.25">
      <c r="G850" s="6"/>
      <c r="H850" s="4"/>
    </row>
    <row r="851" spans="7:8" ht="15.75" customHeight="1" x14ac:dyDescent="0.25">
      <c r="G851" s="6"/>
      <c r="H851" s="4"/>
    </row>
    <row r="852" spans="7:8" ht="15.75" customHeight="1" x14ac:dyDescent="0.25">
      <c r="G852" s="6"/>
      <c r="H852" s="4"/>
    </row>
    <row r="853" spans="7:8" ht="15.75" customHeight="1" x14ac:dyDescent="0.25">
      <c r="G853" s="6"/>
      <c r="H853" s="4"/>
    </row>
    <row r="854" spans="7:8" ht="15.75" customHeight="1" x14ac:dyDescent="0.25">
      <c r="G854" s="6"/>
      <c r="H854" s="4"/>
    </row>
    <row r="855" spans="7:8" ht="15.75" customHeight="1" x14ac:dyDescent="0.25">
      <c r="G855" s="6"/>
      <c r="H855" s="4"/>
    </row>
    <row r="856" spans="7:8" ht="15.75" customHeight="1" x14ac:dyDescent="0.25">
      <c r="G856" s="6"/>
      <c r="H856" s="4"/>
    </row>
    <row r="857" spans="7:8" ht="15.75" customHeight="1" x14ac:dyDescent="0.25">
      <c r="G857" s="6"/>
      <c r="H857" s="4"/>
    </row>
    <row r="858" spans="7:8" ht="15.75" customHeight="1" x14ac:dyDescent="0.25">
      <c r="G858" s="6"/>
      <c r="H858" s="4"/>
    </row>
    <row r="859" spans="7:8" ht="15.75" customHeight="1" x14ac:dyDescent="0.25">
      <c r="G859" s="6"/>
      <c r="H859" s="4"/>
    </row>
    <row r="860" spans="7:8" ht="15.75" customHeight="1" x14ac:dyDescent="0.25">
      <c r="G860" s="6"/>
      <c r="H860" s="4"/>
    </row>
    <row r="861" spans="7:8" ht="15.75" customHeight="1" x14ac:dyDescent="0.25">
      <c r="G861" s="6"/>
      <c r="H861" s="4"/>
    </row>
    <row r="862" spans="7:8" ht="15.75" customHeight="1" x14ac:dyDescent="0.25">
      <c r="G862" s="6"/>
      <c r="H862" s="4"/>
    </row>
    <row r="863" spans="7:8" ht="15.75" customHeight="1" x14ac:dyDescent="0.25">
      <c r="G863" s="6"/>
      <c r="H863" s="4"/>
    </row>
    <row r="864" spans="7:8" ht="15.75" customHeight="1" x14ac:dyDescent="0.25">
      <c r="G864" s="6"/>
      <c r="H864" s="4"/>
    </row>
    <row r="865" spans="7:8" ht="15.75" customHeight="1" x14ac:dyDescent="0.25">
      <c r="G865" s="6"/>
      <c r="H865" s="4"/>
    </row>
    <row r="866" spans="7:8" ht="15.75" customHeight="1" x14ac:dyDescent="0.25">
      <c r="G866" s="6"/>
      <c r="H866" s="4"/>
    </row>
    <row r="867" spans="7:8" ht="15.75" customHeight="1" x14ac:dyDescent="0.25">
      <c r="G867" s="6"/>
      <c r="H867" s="4"/>
    </row>
    <row r="868" spans="7:8" ht="15.75" customHeight="1" x14ac:dyDescent="0.25">
      <c r="G868" s="6"/>
      <c r="H868" s="4"/>
    </row>
    <row r="869" spans="7:8" ht="15.75" customHeight="1" x14ac:dyDescent="0.25">
      <c r="G869" s="6"/>
      <c r="H869" s="4"/>
    </row>
    <row r="870" spans="7:8" ht="15.75" customHeight="1" x14ac:dyDescent="0.25">
      <c r="G870" s="6"/>
      <c r="H870" s="4"/>
    </row>
    <row r="871" spans="7:8" ht="15.75" customHeight="1" x14ac:dyDescent="0.25">
      <c r="G871" s="6"/>
      <c r="H871" s="4"/>
    </row>
    <row r="872" spans="7:8" ht="15.75" customHeight="1" x14ac:dyDescent="0.25">
      <c r="G872" s="6"/>
      <c r="H872" s="4"/>
    </row>
    <row r="873" spans="7:8" ht="15.75" customHeight="1" x14ac:dyDescent="0.25">
      <c r="G873" s="6"/>
      <c r="H873" s="4"/>
    </row>
    <row r="874" spans="7:8" ht="15.75" customHeight="1" x14ac:dyDescent="0.25">
      <c r="G874" s="6"/>
      <c r="H874" s="4"/>
    </row>
    <row r="875" spans="7:8" ht="15.75" customHeight="1" x14ac:dyDescent="0.25">
      <c r="G875" s="6"/>
      <c r="H875" s="4"/>
    </row>
    <row r="876" spans="7:8" ht="15.75" customHeight="1" x14ac:dyDescent="0.25">
      <c r="G876" s="6"/>
      <c r="H876" s="4"/>
    </row>
    <row r="877" spans="7:8" ht="15.75" customHeight="1" x14ac:dyDescent="0.25">
      <c r="G877" s="6"/>
      <c r="H877" s="4"/>
    </row>
    <row r="878" spans="7:8" ht="15.75" customHeight="1" x14ac:dyDescent="0.25">
      <c r="G878" s="6"/>
      <c r="H878" s="4"/>
    </row>
    <row r="879" spans="7:8" ht="15.75" customHeight="1" x14ac:dyDescent="0.25">
      <c r="G879" s="6"/>
      <c r="H879" s="4"/>
    </row>
    <row r="880" spans="7:8" ht="15.75" customHeight="1" x14ac:dyDescent="0.25">
      <c r="G880" s="6"/>
      <c r="H880" s="4"/>
    </row>
    <row r="881" spans="7:8" ht="15.75" customHeight="1" x14ac:dyDescent="0.25">
      <c r="G881" s="6"/>
      <c r="H881" s="4"/>
    </row>
    <row r="882" spans="7:8" ht="15.75" customHeight="1" x14ac:dyDescent="0.25">
      <c r="G882" s="6"/>
      <c r="H882" s="4"/>
    </row>
    <row r="883" spans="7:8" ht="15.75" customHeight="1" x14ac:dyDescent="0.25">
      <c r="G883" s="6"/>
      <c r="H883" s="4"/>
    </row>
    <row r="884" spans="7:8" ht="15.75" customHeight="1" x14ac:dyDescent="0.25">
      <c r="G884" s="6"/>
      <c r="H884" s="4"/>
    </row>
    <row r="885" spans="7:8" ht="15.75" customHeight="1" x14ac:dyDescent="0.25">
      <c r="G885" s="6"/>
      <c r="H885" s="4"/>
    </row>
    <row r="886" spans="7:8" ht="15.75" customHeight="1" x14ac:dyDescent="0.25">
      <c r="G886" s="6"/>
      <c r="H886" s="4"/>
    </row>
    <row r="887" spans="7:8" ht="15.75" customHeight="1" x14ac:dyDescent="0.25">
      <c r="G887" s="6"/>
      <c r="H887" s="4"/>
    </row>
    <row r="888" spans="7:8" ht="15.75" customHeight="1" x14ac:dyDescent="0.25">
      <c r="G888" s="6"/>
      <c r="H888" s="4"/>
    </row>
    <row r="889" spans="7:8" ht="15.75" customHeight="1" x14ac:dyDescent="0.25">
      <c r="G889" s="6"/>
      <c r="H889" s="4"/>
    </row>
    <row r="890" spans="7:8" ht="15.75" customHeight="1" x14ac:dyDescent="0.25">
      <c r="G890" s="6"/>
      <c r="H890" s="4"/>
    </row>
    <row r="891" spans="7:8" ht="15.75" customHeight="1" x14ac:dyDescent="0.25">
      <c r="G891" s="6"/>
      <c r="H891" s="4"/>
    </row>
    <row r="892" spans="7:8" ht="15.75" customHeight="1" x14ac:dyDescent="0.25">
      <c r="G892" s="6"/>
      <c r="H892" s="4"/>
    </row>
    <row r="893" spans="7:8" ht="15.75" customHeight="1" x14ac:dyDescent="0.25">
      <c r="G893" s="6"/>
      <c r="H893" s="4"/>
    </row>
    <row r="894" spans="7:8" ht="15.75" customHeight="1" x14ac:dyDescent="0.25">
      <c r="G894" s="6"/>
      <c r="H894" s="4"/>
    </row>
    <row r="895" spans="7:8" ht="15.75" customHeight="1" x14ac:dyDescent="0.25">
      <c r="G895" s="6"/>
      <c r="H895" s="4"/>
    </row>
    <row r="896" spans="7:8" ht="15.75" customHeight="1" x14ac:dyDescent="0.25">
      <c r="G896" s="6"/>
      <c r="H896" s="4"/>
    </row>
    <row r="897" spans="7:8" ht="15.75" customHeight="1" x14ac:dyDescent="0.25">
      <c r="G897" s="6"/>
      <c r="H897" s="4"/>
    </row>
    <row r="898" spans="7:8" ht="15.75" customHeight="1" x14ac:dyDescent="0.25">
      <c r="G898" s="6"/>
      <c r="H898" s="4"/>
    </row>
    <row r="899" spans="7:8" ht="15.75" customHeight="1" x14ac:dyDescent="0.25">
      <c r="G899" s="6"/>
      <c r="H899" s="4"/>
    </row>
    <row r="900" spans="7:8" ht="15.75" customHeight="1" x14ac:dyDescent="0.25">
      <c r="G900" s="6"/>
      <c r="H900" s="4"/>
    </row>
    <row r="901" spans="7:8" ht="15.75" customHeight="1" x14ac:dyDescent="0.25">
      <c r="G901" s="6"/>
      <c r="H901" s="4"/>
    </row>
    <row r="902" spans="7:8" ht="15.75" customHeight="1" x14ac:dyDescent="0.25">
      <c r="G902" s="6"/>
      <c r="H902" s="4"/>
    </row>
    <row r="903" spans="7:8" ht="15.75" customHeight="1" x14ac:dyDescent="0.25">
      <c r="G903" s="6"/>
      <c r="H903" s="4"/>
    </row>
    <row r="904" spans="7:8" ht="15.75" customHeight="1" x14ac:dyDescent="0.25">
      <c r="G904" s="6"/>
      <c r="H904" s="4"/>
    </row>
    <row r="905" spans="7:8" ht="15.75" customHeight="1" x14ac:dyDescent="0.25">
      <c r="G905" s="6"/>
      <c r="H905" s="4"/>
    </row>
    <row r="906" spans="7:8" ht="15.75" customHeight="1" x14ac:dyDescent="0.25">
      <c r="G906" s="6"/>
      <c r="H906" s="4"/>
    </row>
    <row r="907" spans="7:8" ht="15.75" customHeight="1" x14ac:dyDescent="0.25">
      <c r="G907" s="6"/>
      <c r="H907" s="4"/>
    </row>
    <row r="908" spans="7:8" ht="15.75" customHeight="1" x14ac:dyDescent="0.25">
      <c r="G908" s="6"/>
      <c r="H908" s="4"/>
    </row>
    <row r="909" spans="7:8" ht="15.75" customHeight="1" x14ac:dyDescent="0.25">
      <c r="G909" s="6"/>
      <c r="H909" s="4"/>
    </row>
    <row r="910" spans="7:8" ht="15.75" customHeight="1" x14ac:dyDescent="0.25">
      <c r="G910" s="6"/>
      <c r="H910" s="4"/>
    </row>
    <row r="911" spans="7:8" ht="15.75" customHeight="1" x14ac:dyDescent="0.25">
      <c r="G911" s="6"/>
      <c r="H911" s="4"/>
    </row>
    <row r="912" spans="7:8" ht="15.75" customHeight="1" x14ac:dyDescent="0.25">
      <c r="G912" s="6"/>
      <c r="H912" s="4"/>
    </row>
    <row r="913" spans="7:8" ht="15.75" customHeight="1" x14ac:dyDescent="0.25">
      <c r="G913" s="6"/>
      <c r="H913" s="4"/>
    </row>
    <row r="914" spans="7:8" ht="15.75" customHeight="1" x14ac:dyDescent="0.25">
      <c r="G914" s="6"/>
      <c r="H914" s="4"/>
    </row>
    <row r="915" spans="7:8" ht="15.75" customHeight="1" x14ac:dyDescent="0.25">
      <c r="G915" s="6"/>
      <c r="H915" s="4"/>
    </row>
    <row r="916" spans="7:8" ht="15.75" customHeight="1" x14ac:dyDescent="0.25">
      <c r="G916" s="6"/>
      <c r="H916" s="4"/>
    </row>
    <row r="917" spans="7:8" ht="15.75" customHeight="1" x14ac:dyDescent="0.25">
      <c r="G917" s="6"/>
      <c r="H917" s="4"/>
    </row>
    <row r="918" spans="7:8" ht="15.75" customHeight="1" x14ac:dyDescent="0.25">
      <c r="G918" s="6"/>
      <c r="H918" s="4"/>
    </row>
    <row r="919" spans="7:8" ht="15.75" customHeight="1" x14ac:dyDescent="0.25">
      <c r="G919" s="6"/>
      <c r="H919" s="4"/>
    </row>
    <row r="920" spans="7:8" ht="15.75" customHeight="1" x14ac:dyDescent="0.25">
      <c r="G920" s="6"/>
      <c r="H920" s="4"/>
    </row>
    <row r="921" spans="7:8" ht="15.75" customHeight="1" x14ac:dyDescent="0.25">
      <c r="G921" s="6"/>
      <c r="H921" s="4"/>
    </row>
    <row r="922" spans="7:8" ht="15.75" customHeight="1" x14ac:dyDescent="0.25">
      <c r="G922" s="6"/>
      <c r="H922" s="4"/>
    </row>
    <row r="923" spans="7:8" ht="15.75" customHeight="1" x14ac:dyDescent="0.25">
      <c r="G923" s="6"/>
      <c r="H923" s="4"/>
    </row>
    <row r="924" spans="7:8" ht="15.75" customHeight="1" x14ac:dyDescent="0.25">
      <c r="G924" s="6"/>
      <c r="H924" s="4"/>
    </row>
    <row r="925" spans="7:8" ht="15.75" customHeight="1" x14ac:dyDescent="0.25">
      <c r="G925" s="6"/>
      <c r="H925" s="4"/>
    </row>
    <row r="926" spans="7:8" ht="15.75" customHeight="1" x14ac:dyDescent="0.25">
      <c r="G926" s="6"/>
      <c r="H926" s="4"/>
    </row>
    <row r="927" spans="7:8" ht="15.75" customHeight="1" x14ac:dyDescent="0.25">
      <c r="G927" s="6"/>
      <c r="H927" s="4"/>
    </row>
    <row r="928" spans="7:8" ht="15.75" customHeight="1" x14ac:dyDescent="0.25">
      <c r="G928" s="6"/>
      <c r="H928" s="4"/>
    </row>
    <row r="929" spans="7:8" ht="15.75" customHeight="1" x14ac:dyDescent="0.25">
      <c r="G929" s="6"/>
      <c r="H929" s="4"/>
    </row>
    <row r="930" spans="7:8" ht="15.75" customHeight="1" x14ac:dyDescent="0.25">
      <c r="G930" s="6"/>
      <c r="H930" s="4"/>
    </row>
    <row r="931" spans="7:8" ht="15.75" customHeight="1" x14ac:dyDescent="0.25">
      <c r="G931" s="6"/>
      <c r="H931" s="4"/>
    </row>
    <row r="932" spans="7:8" ht="15.75" customHeight="1" x14ac:dyDescent="0.25">
      <c r="G932" s="6"/>
      <c r="H932" s="4"/>
    </row>
    <row r="933" spans="7:8" ht="15.75" customHeight="1" x14ac:dyDescent="0.25">
      <c r="G933" s="6"/>
      <c r="H933" s="4"/>
    </row>
    <row r="934" spans="7:8" ht="15.75" customHeight="1" x14ac:dyDescent="0.25">
      <c r="G934" s="6"/>
      <c r="H934" s="4"/>
    </row>
    <row r="935" spans="7:8" ht="15.75" customHeight="1" x14ac:dyDescent="0.25">
      <c r="G935" s="6"/>
      <c r="H935" s="4"/>
    </row>
    <row r="936" spans="7:8" ht="15.75" customHeight="1" x14ac:dyDescent="0.25">
      <c r="G936" s="6"/>
      <c r="H936" s="4"/>
    </row>
    <row r="937" spans="7:8" ht="15.75" customHeight="1" x14ac:dyDescent="0.25">
      <c r="G937" s="6"/>
      <c r="H937" s="4"/>
    </row>
    <row r="938" spans="7:8" ht="15.75" customHeight="1" x14ac:dyDescent="0.25">
      <c r="G938" s="6"/>
      <c r="H938" s="4"/>
    </row>
    <row r="939" spans="7:8" ht="15.75" customHeight="1" x14ac:dyDescent="0.25">
      <c r="G939" s="6"/>
      <c r="H939" s="4"/>
    </row>
    <row r="940" spans="7:8" ht="15.75" customHeight="1" x14ac:dyDescent="0.25">
      <c r="G940" s="6"/>
      <c r="H940" s="4"/>
    </row>
    <row r="941" spans="7:8" ht="15.75" customHeight="1" x14ac:dyDescent="0.25">
      <c r="G941" s="6"/>
      <c r="H941" s="4"/>
    </row>
    <row r="942" spans="7:8" ht="15.75" customHeight="1" x14ac:dyDescent="0.25">
      <c r="G942" s="6"/>
      <c r="H942" s="4"/>
    </row>
    <row r="943" spans="7:8" ht="15.75" customHeight="1" x14ac:dyDescent="0.25">
      <c r="G943" s="6"/>
      <c r="H943" s="4"/>
    </row>
    <row r="944" spans="7:8" ht="15.75" customHeight="1" x14ac:dyDescent="0.25">
      <c r="G944" s="6"/>
      <c r="H944" s="4"/>
    </row>
    <row r="945" spans="7:8" ht="15.75" customHeight="1" x14ac:dyDescent="0.25">
      <c r="G945" s="6"/>
      <c r="H945" s="4"/>
    </row>
    <row r="946" spans="7:8" ht="15.75" customHeight="1" x14ac:dyDescent="0.25">
      <c r="G946" s="6"/>
      <c r="H946" s="4"/>
    </row>
    <row r="947" spans="7:8" ht="15.75" customHeight="1" x14ac:dyDescent="0.25">
      <c r="G947" s="6"/>
      <c r="H947" s="4"/>
    </row>
    <row r="948" spans="7:8" ht="15.75" customHeight="1" x14ac:dyDescent="0.25">
      <c r="G948" s="6"/>
      <c r="H948" s="4"/>
    </row>
    <row r="949" spans="7:8" ht="15.75" customHeight="1" x14ac:dyDescent="0.25">
      <c r="G949" s="6"/>
      <c r="H949" s="4"/>
    </row>
    <row r="950" spans="7:8" ht="15.75" customHeight="1" x14ac:dyDescent="0.25">
      <c r="G950" s="6"/>
      <c r="H950" s="4"/>
    </row>
    <row r="951" spans="7:8" ht="15.75" customHeight="1" x14ac:dyDescent="0.25">
      <c r="G951" s="6"/>
      <c r="H951" s="4"/>
    </row>
    <row r="952" spans="7:8" ht="15.75" customHeight="1" x14ac:dyDescent="0.25">
      <c r="G952" s="6"/>
      <c r="H952" s="4"/>
    </row>
    <row r="953" spans="7:8" ht="15.75" customHeight="1" x14ac:dyDescent="0.25">
      <c r="G953" s="6"/>
      <c r="H953" s="4"/>
    </row>
    <row r="954" spans="7:8" ht="15.75" customHeight="1" x14ac:dyDescent="0.25">
      <c r="G954" s="6"/>
      <c r="H954" s="4"/>
    </row>
    <row r="955" spans="7:8" ht="15.75" customHeight="1" x14ac:dyDescent="0.25">
      <c r="G955" s="6"/>
      <c r="H955" s="4"/>
    </row>
    <row r="956" spans="7:8" ht="15.75" customHeight="1" x14ac:dyDescent="0.25">
      <c r="G956" s="6"/>
      <c r="H956" s="4"/>
    </row>
    <row r="957" spans="7:8" ht="15.75" customHeight="1" x14ac:dyDescent="0.25">
      <c r="G957" s="6"/>
      <c r="H957" s="4"/>
    </row>
    <row r="958" spans="7:8" ht="15.75" customHeight="1" x14ac:dyDescent="0.25">
      <c r="G958" s="6"/>
      <c r="H958" s="4"/>
    </row>
    <row r="959" spans="7:8" ht="15.75" customHeight="1" x14ac:dyDescent="0.25">
      <c r="G959" s="6"/>
      <c r="H959" s="4"/>
    </row>
    <row r="960" spans="7:8" ht="15.75" customHeight="1" x14ac:dyDescent="0.25">
      <c r="G960" s="6"/>
      <c r="H960" s="4"/>
    </row>
    <row r="961" spans="7:8" ht="15.75" customHeight="1" x14ac:dyDescent="0.25">
      <c r="G961" s="6"/>
      <c r="H961" s="4"/>
    </row>
    <row r="962" spans="7:8" ht="15.75" customHeight="1" x14ac:dyDescent="0.25">
      <c r="G962" s="6"/>
      <c r="H962" s="4"/>
    </row>
    <row r="963" spans="7:8" ht="15.75" customHeight="1" x14ac:dyDescent="0.25">
      <c r="G963" s="6"/>
      <c r="H963" s="4"/>
    </row>
    <row r="964" spans="7:8" ht="15.75" customHeight="1" x14ac:dyDescent="0.25">
      <c r="G964" s="6"/>
      <c r="H964" s="4"/>
    </row>
    <row r="965" spans="7:8" ht="15.75" customHeight="1" x14ac:dyDescent="0.25">
      <c r="G965" s="6"/>
      <c r="H965" s="4"/>
    </row>
    <row r="966" spans="7:8" ht="15.75" customHeight="1" x14ac:dyDescent="0.25">
      <c r="G966" s="6"/>
      <c r="H966" s="4"/>
    </row>
    <row r="967" spans="7:8" ht="15.75" customHeight="1" x14ac:dyDescent="0.25">
      <c r="G967" s="6"/>
      <c r="H967" s="4"/>
    </row>
    <row r="968" spans="7:8" ht="15.75" customHeight="1" x14ac:dyDescent="0.25">
      <c r="G968" s="6"/>
      <c r="H968" s="4"/>
    </row>
    <row r="969" spans="7:8" ht="15.75" customHeight="1" x14ac:dyDescent="0.25">
      <c r="G969" s="6"/>
      <c r="H969" s="4"/>
    </row>
    <row r="970" spans="7:8" ht="15.75" customHeight="1" x14ac:dyDescent="0.25">
      <c r="G970" s="6"/>
      <c r="H970" s="4"/>
    </row>
    <row r="971" spans="7:8" ht="15.75" customHeight="1" x14ac:dyDescent="0.25">
      <c r="G971" s="6"/>
      <c r="H971" s="4"/>
    </row>
    <row r="972" spans="7:8" ht="15.75" customHeight="1" x14ac:dyDescent="0.25">
      <c r="G972" s="6"/>
      <c r="H972" s="4"/>
    </row>
    <row r="973" spans="7:8" ht="15.75" customHeight="1" x14ac:dyDescent="0.25">
      <c r="G973" s="6"/>
      <c r="H973" s="4"/>
    </row>
    <row r="974" spans="7:8" ht="15.75" customHeight="1" x14ac:dyDescent="0.25">
      <c r="G974" s="6"/>
      <c r="H974" s="4"/>
    </row>
    <row r="975" spans="7:8" ht="15.75" customHeight="1" x14ac:dyDescent="0.25">
      <c r="G975" s="6"/>
      <c r="H975" s="4"/>
    </row>
    <row r="976" spans="7:8" ht="15.75" customHeight="1" x14ac:dyDescent="0.25">
      <c r="G976" s="6"/>
      <c r="H976" s="4"/>
    </row>
    <row r="977" spans="7:8" ht="15.75" customHeight="1" x14ac:dyDescent="0.25">
      <c r="G977" s="6"/>
      <c r="H977" s="4"/>
    </row>
    <row r="978" spans="7:8" ht="15.75" customHeight="1" x14ac:dyDescent="0.25">
      <c r="G978" s="6"/>
      <c r="H978" s="4"/>
    </row>
    <row r="979" spans="7:8" ht="15.75" customHeight="1" x14ac:dyDescent="0.25">
      <c r="G979" s="6"/>
      <c r="H979" s="4"/>
    </row>
    <row r="980" spans="7:8" ht="15.75" customHeight="1" x14ac:dyDescent="0.25">
      <c r="G980" s="6"/>
      <c r="H980" s="4"/>
    </row>
    <row r="981" spans="7:8" ht="15.75" customHeight="1" x14ac:dyDescent="0.25">
      <c r="G981" s="6"/>
      <c r="H981" s="4"/>
    </row>
    <row r="982" spans="7:8" ht="15.75" customHeight="1" x14ac:dyDescent="0.25">
      <c r="G982" s="6"/>
      <c r="H982" s="4"/>
    </row>
    <row r="983" spans="7:8" ht="15.75" customHeight="1" x14ac:dyDescent="0.25">
      <c r="G983" s="6"/>
      <c r="H983" s="4"/>
    </row>
    <row r="984" spans="7:8" ht="15.75" customHeight="1" x14ac:dyDescent="0.25">
      <c r="G984" s="6"/>
      <c r="H984" s="4"/>
    </row>
    <row r="985" spans="7:8" ht="15.75" customHeight="1" x14ac:dyDescent="0.25">
      <c r="G985" s="6"/>
      <c r="H985" s="4"/>
    </row>
    <row r="986" spans="7:8" ht="15.75" customHeight="1" x14ac:dyDescent="0.25">
      <c r="G986" s="6"/>
      <c r="H986" s="4"/>
    </row>
    <row r="987" spans="7:8" ht="15.75" customHeight="1" x14ac:dyDescent="0.25">
      <c r="G987" s="6"/>
      <c r="H987" s="4"/>
    </row>
    <row r="988" spans="7:8" ht="15.75" customHeight="1" x14ac:dyDescent="0.25">
      <c r="G988" s="6"/>
      <c r="H988" s="4"/>
    </row>
    <row r="989" spans="7:8" ht="15.75" customHeight="1" x14ac:dyDescent="0.25">
      <c r="G989" s="6"/>
      <c r="H989" s="4"/>
    </row>
    <row r="990" spans="7:8" ht="15.75" customHeight="1" x14ac:dyDescent="0.25">
      <c r="G990" s="6"/>
      <c r="H990" s="4"/>
    </row>
    <row r="991" spans="7:8" ht="15.75" customHeight="1" x14ac:dyDescent="0.25">
      <c r="G991" s="6"/>
      <c r="H991" s="4"/>
    </row>
    <row r="992" spans="7:8" ht="15.75" customHeight="1" x14ac:dyDescent="0.25">
      <c r="G992" s="6"/>
      <c r="H992" s="4"/>
    </row>
    <row r="993" spans="7:8" ht="15.75" customHeight="1" x14ac:dyDescent="0.25">
      <c r="G993" s="6"/>
      <c r="H993" s="4"/>
    </row>
    <row r="994" spans="7:8" ht="15.75" customHeight="1" x14ac:dyDescent="0.25">
      <c r="G994" s="6"/>
      <c r="H994" s="4"/>
    </row>
    <row r="995" spans="7:8" ht="15.75" customHeight="1" x14ac:dyDescent="0.25">
      <c r="G995" s="6"/>
      <c r="H995" s="4"/>
    </row>
    <row r="996" spans="7:8" ht="15.75" customHeight="1" x14ac:dyDescent="0.25">
      <c r="G996" s="6"/>
      <c r="H996" s="4"/>
    </row>
    <row r="997" spans="7:8" ht="15.75" customHeight="1" x14ac:dyDescent="0.25">
      <c r="G997" s="6"/>
      <c r="H997" s="4"/>
    </row>
    <row r="998" spans="7:8" ht="15.75" customHeight="1" x14ac:dyDescent="0.25">
      <c r="G998" s="6"/>
      <c r="H998" s="4"/>
    </row>
    <row r="999" spans="7:8" ht="15.75" customHeight="1" x14ac:dyDescent="0.25">
      <c r="G999" s="6"/>
      <c r="H999" s="4"/>
    </row>
    <row r="1000" spans="7:8" ht="15.75" customHeight="1" x14ac:dyDescent="0.25">
      <c r="G1000" s="6"/>
      <c r="H1000" s="4"/>
    </row>
  </sheetData>
  <autoFilter ref="A1:Q224" xr:uid="{00000000-0001-0000-0100-000000000000}"/>
  <phoneticPr fontId="8"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FB0D-7C12-45E0-B7F7-6CD82BA4D3C7}">
  <dimension ref="A1:E223"/>
  <sheetViews>
    <sheetView workbookViewId="0">
      <selection activeCell="B1" sqref="B1:B1048576"/>
    </sheetView>
  </sheetViews>
  <sheetFormatPr baseColWidth="10" defaultRowHeight="15" x14ac:dyDescent="0.25"/>
  <cols>
    <col min="1" max="1" width="17.140625" customWidth="1"/>
    <col min="2" max="2" width="54.85546875" style="24" customWidth="1"/>
  </cols>
  <sheetData>
    <row r="1" spans="1:5" x14ac:dyDescent="0.25">
      <c r="A1" s="17" t="s">
        <v>73</v>
      </c>
      <c r="B1" s="24" t="e" cm="1">
        <f t="array" ref="B1:B223">VLOOKUP(A1:A223,[1]toda!$A$2:$G$2182,1,0)</f>
        <v>#N/A</v>
      </c>
    </row>
    <row r="2" spans="1:5" x14ac:dyDescent="0.25">
      <c r="A2" t="s">
        <v>125</v>
      </c>
      <c r="B2" s="24" t="e">
        <v>#N/A</v>
      </c>
      <c r="E2" t="s">
        <v>73</v>
      </c>
    </row>
    <row r="3" spans="1:5" x14ac:dyDescent="0.25">
      <c r="A3" s="17" t="s">
        <v>128</v>
      </c>
      <c r="B3" s="24" t="e">
        <v>#N/A</v>
      </c>
      <c r="E3" t="s">
        <v>125</v>
      </c>
    </row>
    <row r="4" spans="1:5" x14ac:dyDescent="0.25">
      <c r="A4" s="17" t="s">
        <v>43</v>
      </c>
      <c r="B4" s="24" t="e">
        <v>#N/A</v>
      </c>
      <c r="E4" t="s">
        <v>128</v>
      </c>
    </row>
    <row r="5" spans="1:5" x14ac:dyDescent="0.25">
      <c r="A5" t="s">
        <v>48</v>
      </c>
      <c r="B5" s="24" t="e">
        <v>#N/A</v>
      </c>
    </row>
    <row r="6" spans="1:5" x14ac:dyDescent="0.25">
      <c r="A6" t="s">
        <v>102</v>
      </c>
      <c r="B6" s="24" t="e">
        <v>#N/A</v>
      </c>
    </row>
    <row r="7" spans="1:5" x14ac:dyDescent="0.25">
      <c r="A7" t="s">
        <v>50</v>
      </c>
      <c r="B7" s="24" t="e">
        <v>#N/A</v>
      </c>
    </row>
    <row r="8" spans="1:5" x14ac:dyDescent="0.25">
      <c r="A8" t="s">
        <v>92</v>
      </c>
      <c r="B8" s="24" t="e">
        <v>#N/A</v>
      </c>
    </row>
    <row r="9" spans="1:5" x14ac:dyDescent="0.25">
      <c r="A9" t="s">
        <v>185</v>
      </c>
      <c r="B9" s="24" t="e">
        <v>#N/A</v>
      </c>
    </row>
    <row r="10" spans="1:5" x14ac:dyDescent="0.25">
      <c r="A10" t="s">
        <v>40</v>
      </c>
      <c r="B10" s="24" t="e">
        <v>#N/A</v>
      </c>
    </row>
    <row r="11" spans="1:5" x14ac:dyDescent="0.25">
      <c r="A11" t="s">
        <v>45</v>
      </c>
      <c r="B11" s="24" t="e">
        <v>#N/A</v>
      </c>
    </row>
    <row r="12" spans="1:5" x14ac:dyDescent="0.25">
      <c r="A12" t="s">
        <v>181</v>
      </c>
      <c r="B12" s="24" t="e">
        <v>#N/A</v>
      </c>
    </row>
    <row r="13" spans="1:5" x14ac:dyDescent="0.25">
      <c r="A13" t="s">
        <v>70</v>
      </c>
      <c r="B13" s="24" t="e">
        <v>#N/A</v>
      </c>
    </row>
    <row r="14" spans="1:5" x14ac:dyDescent="0.25">
      <c r="A14" t="s">
        <v>65</v>
      </c>
      <c r="B14" s="24" t="e">
        <v>#N/A</v>
      </c>
    </row>
    <row r="15" spans="1:5" x14ac:dyDescent="0.25">
      <c r="A15" t="s">
        <v>148</v>
      </c>
      <c r="B15" s="24" t="e">
        <v>#N/A</v>
      </c>
    </row>
    <row r="16" spans="1:5" x14ac:dyDescent="0.25">
      <c r="A16" t="s">
        <v>30</v>
      </c>
      <c r="B16" s="24" t="e">
        <v>#N/A</v>
      </c>
    </row>
    <row r="17" spans="1:2" x14ac:dyDescent="0.25">
      <c r="A17" t="s">
        <v>82</v>
      </c>
      <c r="B17" s="24" t="e">
        <v>#N/A</v>
      </c>
    </row>
    <row r="18" spans="1:2" x14ac:dyDescent="0.25">
      <c r="A18" t="s">
        <v>59</v>
      </c>
      <c r="B18" s="24" t="e">
        <v>#N/A</v>
      </c>
    </row>
    <row r="19" spans="1:2" x14ac:dyDescent="0.25">
      <c r="A19" t="s">
        <v>38</v>
      </c>
      <c r="B19" s="24" t="e">
        <v>#N/A</v>
      </c>
    </row>
    <row r="20" spans="1:2" x14ac:dyDescent="0.25">
      <c r="A20" t="s">
        <v>84</v>
      </c>
      <c r="B20" s="24" t="e">
        <v>#N/A</v>
      </c>
    </row>
    <row r="21" spans="1:2" x14ac:dyDescent="0.25">
      <c r="A21" t="s">
        <v>54</v>
      </c>
      <c r="B21" s="24" t="e">
        <v>#N/A</v>
      </c>
    </row>
    <row r="22" spans="1:2" x14ac:dyDescent="0.25">
      <c r="A22" t="s">
        <v>19</v>
      </c>
      <c r="B22" s="24" t="e">
        <v>#N/A</v>
      </c>
    </row>
    <row r="23" spans="1:2" x14ac:dyDescent="0.25">
      <c r="A23" t="s">
        <v>24</v>
      </c>
      <c r="B23" s="24" t="e">
        <v>#N/A</v>
      </c>
    </row>
    <row r="24" spans="1:2" x14ac:dyDescent="0.25">
      <c r="A24" t="s">
        <v>36</v>
      </c>
      <c r="B24" s="24" t="e">
        <v>#N/A</v>
      </c>
    </row>
    <row r="25" spans="1:2" x14ac:dyDescent="0.25">
      <c r="A25" t="s">
        <v>56</v>
      </c>
      <c r="B25" s="24" t="e">
        <v>#N/A</v>
      </c>
    </row>
    <row r="26" spans="1:2" x14ac:dyDescent="0.25">
      <c r="A26" t="s">
        <v>89</v>
      </c>
      <c r="B26" s="24" t="e">
        <v>#N/A</v>
      </c>
    </row>
    <row r="27" spans="1:2" x14ac:dyDescent="0.25">
      <c r="A27" t="s">
        <v>61</v>
      </c>
      <c r="B27" s="24" t="e">
        <v>#N/A</v>
      </c>
    </row>
    <row r="28" spans="1:2" x14ac:dyDescent="0.25">
      <c r="A28" t="s">
        <v>76</v>
      </c>
      <c r="B28" s="24" t="e">
        <v>#N/A</v>
      </c>
    </row>
    <row r="29" spans="1:2" x14ac:dyDescent="0.25">
      <c r="A29" t="s">
        <v>220</v>
      </c>
      <c r="B29" s="24" t="e">
        <v>#N/A</v>
      </c>
    </row>
    <row r="30" spans="1:2" x14ac:dyDescent="0.25">
      <c r="A30" t="s">
        <v>34</v>
      </c>
      <c r="B30" s="24" t="e">
        <v>#N/A</v>
      </c>
    </row>
    <row r="31" spans="1:2" x14ac:dyDescent="0.25">
      <c r="A31" t="s">
        <v>63</v>
      </c>
      <c r="B31" s="24" t="e">
        <v>#N/A</v>
      </c>
    </row>
    <row r="32" spans="1:2" x14ac:dyDescent="0.25">
      <c r="A32" t="s">
        <v>94</v>
      </c>
      <c r="B32" s="24" t="e">
        <v>#N/A</v>
      </c>
    </row>
    <row r="33" spans="1:2" x14ac:dyDescent="0.25">
      <c r="A33" t="s">
        <v>68</v>
      </c>
      <c r="B33" s="24" t="e">
        <v>#N/A</v>
      </c>
    </row>
    <row r="34" spans="1:2" x14ac:dyDescent="0.25">
      <c r="A34" t="s">
        <v>88</v>
      </c>
      <c r="B34" s="24" t="e">
        <v>#N/A</v>
      </c>
    </row>
    <row r="35" spans="1:2" x14ac:dyDescent="0.25">
      <c r="A35" t="s">
        <v>222</v>
      </c>
      <c r="B35" s="24" t="e">
        <v>#N/A</v>
      </c>
    </row>
    <row r="36" spans="1:2" x14ac:dyDescent="0.25">
      <c r="A36" t="s">
        <v>183</v>
      </c>
      <c r="B36" s="24" t="e">
        <v>#N/A</v>
      </c>
    </row>
    <row r="37" spans="1:2" x14ac:dyDescent="0.25">
      <c r="A37" t="s">
        <v>96</v>
      </c>
      <c r="B37" s="24" t="e">
        <v>#N/A</v>
      </c>
    </row>
    <row r="38" spans="1:2" x14ac:dyDescent="0.25">
      <c r="A38" t="s">
        <v>86</v>
      </c>
      <c r="B38" s="24" t="e">
        <v>#N/A</v>
      </c>
    </row>
    <row r="39" spans="1:2" x14ac:dyDescent="0.25">
      <c r="A39" t="s">
        <v>132</v>
      </c>
      <c r="B39" s="24" t="e">
        <v>#N/A</v>
      </c>
    </row>
    <row r="40" spans="1:2" x14ac:dyDescent="0.25">
      <c r="A40" t="s">
        <v>228</v>
      </c>
      <c r="B40" s="24" t="e">
        <v>#N/A</v>
      </c>
    </row>
    <row r="41" spans="1:2" x14ac:dyDescent="0.25">
      <c r="A41" t="s">
        <v>230</v>
      </c>
      <c r="B41" s="24" t="e">
        <v>#N/A</v>
      </c>
    </row>
    <row r="42" spans="1:2" x14ac:dyDescent="0.25">
      <c r="A42" t="s">
        <v>226</v>
      </c>
      <c r="B42" s="24" t="e">
        <v>#N/A</v>
      </c>
    </row>
    <row r="43" spans="1:2" x14ac:dyDescent="0.25">
      <c r="A43" t="s">
        <v>726</v>
      </c>
      <c r="B43" s="24" t="e">
        <v>#N/A</v>
      </c>
    </row>
    <row r="44" spans="1:2" x14ac:dyDescent="0.25">
      <c r="A44" t="s">
        <v>224</v>
      </c>
      <c r="B44" s="24" t="e">
        <v>#N/A</v>
      </c>
    </row>
    <row r="45" spans="1:2" x14ac:dyDescent="0.25">
      <c r="A45" t="s">
        <v>232</v>
      </c>
      <c r="B45" s="24" t="e">
        <v>#N/A</v>
      </c>
    </row>
    <row r="46" spans="1:2" x14ac:dyDescent="0.25">
      <c r="A46" t="s">
        <v>130</v>
      </c>
      <c r="B46" s="24" t="e">
        <v>#N/A</v>
      </c>
    </row>
    <row r="47" spans="1:2" x14ac:dyDescent="0.25">
      <c r="A47" t="s">
        <v>104</v>
      </c>
      <c r="B47" s="24" t="e">
        <v>#N/A</v>
      </c>
    </row>
    <row r="48" spans="1:2" x14ac:dyDescent="0.25">
      <c r="A48" t="s">
        <v>106</v>
      </c>
      <c r="B48" s="24" t="e">
        <v>#N/A</v>
      </c>
    </row>
    <row r="49" spans="1:2" x14ac:dyDescent="0.25">
      <c r="A49" t="s">
        <v>187</v>
      </c>
      <c r="B49" s="24" t="e">
        <v>#N/A</v>
      </c>
    </row>
    <row r="50" spans="1:2" x14ac:dyDescent="0.25">
      <c r="A50" t="s">
        <v>151</v>
      </c>
      <c r="B50" s="24" t="e">
        <v>#N/A</v>
      </c>
    </row>
    <row r="51" spans="1:2" x14ac:dyDescent="0.25">
      <c r="A51" t="s">
        <v>108</v>
      </c>
      <c r="B51" s="24" t="e">
        <v>#N/A</v>
      </c>
    </row>
    <row r="52" spans="1:2" x14ac:dyDescent="0.25">
      <c r="A52" t="s">
        <v>190</v>
      </c>
      <c r="B52" s="24" t="e">
        <v>#N/A</v>
      </c>
    </row>
    <row r="53" spans="1:2" x14ac:dyDescent="0.25">
      <c r="A53" t="s">
        <v>158</v>
      </c>
      <c r="B53" s="24" t="e">
        <v>#N/A</v>
      </c>
    </row>
    <row r="54" spans="1:2" x14ac:dyDescent="0.25">
      <c r="A54" t="s">
        <v>135</v>
      </c>
      <c r="B54" s="24" t="e">
        <v>#N/A</v>
      </c>
    </row>
    <row r="55" spans="1:2" x14ac:dyDescent="0.25">
      <c r="A55" t="s">
        <v>167</v>
      </c>
      <c r="B55" s="24" t="e">
        <v>#N/A</v>
      </c>
    </row>
    <row r="56" spans="1:2" x14ac:dyDescent="0.25">
      <c r="A56" t="s">
        <v>160</v>
      </c>
      <c r="B56" s="24" t="e">
        <v>#N/A</v>
      </c>
    </row>
    <row r="57" spans="1:2" x14ac:dyDescent="0.25">
      <c r="A57" t="s">
        <v>234</v>
      </c>
      <c r="B57" s="24" t="e">
        <v>#N/A</v>
      </c>
    </row>
    <row r="58" spans="1:2" x14ac:dyDescent="0.25">
      <c r="A58" t="s">
        <v>236</v>
      </c>
      <c r="B58" s="24" t="e">
        <v>#N/A</v>
      </c>
    </row>
    <row r="59" spans="1:2" x14ac:dyDescent="0.25">
      <c r="A59" t="s">
        <v>137</v>
      </c>
      <c r="B59" s="24" t="e">
        <v>#N/A</v>
      </c>
    </row>
    <row r="60" spans="1:2" x14ac:dyDescent="0.25">
      <c r="A60" t="s">
        <v>110</v>
      </c>
      <c r="B60" s="24" t="e">
        <v>#N/A</v>
      </c>
    </row>
    <row r="61" spans="1:2" x14ac:dyDescent="0.25">
      <c r="A61" t="s">
        <v>192</v>
      </c>
      <c r="B61" s="24" t="e">
        <v>#N/A</v>
      </c>
    </row>
    <row r="62" spans="1:2" x14ac:dyDescent="0.25">
      <c r="A62" t="s">
        <v>195</v>
      </c>
      <c r="B62" s="24" t="e">
        <v>#N/A</v>
      </c>
    </row>
    <row r="63" spans="1:2" x14ac:dyDescent="0.25">
      <c r="A63" t="s">
        <v>162</v>
      </c>
      <c r="B63" s="24" t="e">
        <v>#N/A</v>
      </c>
    </row>
    <row r="64" spans="1:2" x14ac:dyDescent="0.25">
      <c r="A64" t="s">
        <v>113</v>
      </c>
      <c r="B64" s="24" t="e">
        <v>#N/A</v>
      </c>
    </row>
    <row r="65" spans="1:2" x14ac:dyDescent="0.25">
      <c r="A65" t="s">
        <v>238</v>
      </c>
      <c r="B65" s="24" t="e">
        <v>#N/A</v>
      </c>
    </row>
    <row r="66" spans="1:2" x14ac:dyDescent="0.25">
      <c r="A66" t="s">
        <v>164</v>
      </c>
      <c r="B66" s="24" t="e">
        <v>#N/A</v>
      </c>
    </row>
    <row r="67" spans="1:2" x14ac:dyDescent="0.25">
      <c r="A67" t="s">
        <v>240</v>
      </c>
      <c r="B67" s="24" t="e">
        <v>#N/A</v>
      </c>
    </row>
    <row r="68" spans="1:2" x14ac:dyDescent="0.25">
      <c r="A68" t="s">
        <v>243</v>
      </c>
      <c r="B68" s="24" t="e">
        <v>#N/A</v>
      </c>
    </row>
    <row r="69" spans="1:2" x14ac:dyDescent="0.25">
      <c r="A69" t="s">
        <v>155</v>
      </c>
      <c r="B69" s="24" t="e">
        <v>#N/A</v>
      </c>
    </row>
    <row r="70" spans="1:2" x14ac:dyDescent="0.25">
      <c r="A70" t="s">
        <v>139</v>
      </c>
      <c r="B70" s="24" t="e">
        <v>#N/A</v>
      </c>
    </row>
    <row r="71" spans="1:2" x14ac:dyDescent="0.25">
      <c r="A71" t="s">
        <v>169</v>
      </c>
      <c r="B71" s="24" t="e">
        <v>#N/A</v>
      </c>
    </row>
    <row r="72" spans="1:2" x14ac:dyDescent="0.25">
      <c r="A72" t="s">
        <v>197</v>
      </c>
      <c r="B72" s="24" t="e">
        <v>#N/A</v>
      </c>
    </row>
    <row r="73" spans="1:2" x14ac:dyDescent="0.25">
      <c r="A73" t="s">
        <v>203</v>
      </c>
      <c r="B73" s="24" t="e">
        <v>#N/A</v>
      </c>
    </row>
    <row r="74" spans="1:2" x14ac:dyDescent="0.25">
      <c r="A74" t="s">
        <v>115</v>
      </c>
      <c r="B74" s="24" t="e">
        <v>#N/A</v>
      </c>
    </row>
    <row r="75" spans="1:2" x14ac:dyDescent="0.25">
      <c r="A75" t="s">
        <v>258</v>
      </c>
      <c r="B75" s="24" t="e">
        <v>#N/A</v>
      </c>
    </row>
    <row r="76" spans="1:2" x14ac:dyDescent="0.25">
      <c r="A76" t="s">
        <v>200</v>
      </c>
      <c r="B76" s="24" t="e">
        <v>#N/A</v>
      </c>
    </row>
    <row r="77" spans="1:2" x14ac:dyDescent="0.25">
      <c r="A77" t="s">
        <v>249</v>
      </c>
      <c r="B77" s="24" t="e">
        <v>#N/A</v>
      </c>
    </row>
    <row r="78" spans="1:2" x14ac:dyDescent="0.25">
      <c r="A78" t="s">
        <v>251</v>
      </c>
      <c r="B78" s="24" t="e">
        <v>#N/A</v>
      </c>
    </row>
    <row r="79" spans="1:2" x14ac:dyDescent="0.25">
      <c r="A79" t="s">
        <v>142</v>
      </c>
      <c r="B79" s="24" t="e">
        <v>#N/A</v>
      </c>
    </row>
    <row r="80" spans="1:2" x14ac:dyDescent="0.25">
      <c r="A80" t="s">
        <v>176</v>
      </c>
      <c r="B80" s="24" t="e">
        <v>#N/A</v>
      </c>
    </row>
    <row r="81" spans="1:2" x14ac:dyDescent="0.25">
      <c r="A81" t="s">
        <v>245</v>
      </c>
      <c r="B81" s="24" t="e">
        <v>#N/A</v>
      </c>
    </row>
    <row r="82" spans="1:2" x14ac:dyDescent="0.25">
      <c r="A82" t="s">
        <v>171</v>
      </c>
      <c r="B82" s="24" t="e">
        <v>#N/A</v>
      </c>
    </row>
    <row r="83" spans="1:2" x14ac:dyDescent="0.25">
      <c r="A83" t="s">
        <v>263</v>
      </c>
      <c r="B83" s="24" t="e">
        <v>#N/A</v>
      </c>
    </row>
    <row r="84" spans="1:2" x14ac:dyDescent="0.25">
      <c r="A84" t="s">
        <v>174</v>
      </c>
      <c r="B84" s="24" t="e">
        <v>#N/A</v>
      </c>
    </row>
    <row r="85" spans="1:2" x14ac:dyDescent="0.25">
      <c r="A85" t="s">
        <v>254</v>
      </c>
      <c r="B85" s="24" t="e">
        <v>#N/A</v>
      </c>
    </row>
    <row r="86" spans="1:2" x14ac:dyDescent="0.25">
      <c r="A86" t="s">
        <v>256</v>
      </c>
      <c r="B86" s="24" t="e">
        <v>#N/A</v>
      </c>
    </row>
    <row r="87" spans="1:2" x14ac:dyDescent="0.25">
      <c r="A87" t="s">
        <v>261</v>
      </c>
      <c r="B87" s="24" t="e">
        <v>#N/A</v>
      </c>
    </row>
    <row r="88" spans="1:2" x14ac:dyDescent="0.25">
      <c r="A88" t="s">
        <v>218</v>
      </c>
      <c r="B88" s="24" t="e">
        <v>#N/A</v>
      </c>
    </row>
    <row r="89" spans="1:2" x14ac:dyDescent="0.25">
      <c r="A89" t="s">
        <v>269</v>
      </c>
      <c r="B89" s="24" t="e">
        <v>#N/A</v>
      </c>
    </row>
    <row r="90" spans="1:2" x14ac:dyDescent="0.25">
      <c r="A90" t="s">
        <v>271</v>
      </c>
      <c r="B90" s="24" t="e">
        <v>#N/A</v>
      </c>
    </row>
    <row r="91" spans="1:2" x14ac:dyDescent="0.25">
      <c r="A91" t="s">
        <v>205</v>
      </c>
      <c r="B91" s="24" t="e">
        <v>#N/A</v>
      </c>
    </row>
    <row r="92" spans="1:2" x14ac:dyDescent="0.25">
      <c r="A92" t="s">
        <v>273</v>
      </c>
      <c r="B92" s="24" t="e">
        <v>#N/A</v>
      </c>
    </row>
    <row r="93" spans="1:2" x14ac:dyDescent="0.25">
      <c r="A93" t="s">
        <v>277</v>
      </c>
      <c r="B93" s="24" t="e">
        <v>#N/A</v>
      </c>
    </row>
    <row r="94" spans="1:2" x14ac:dyDescent="0.25">
      <c r="A94" t="s">
        <v>279</v>
      </c>
      <c r="B94" s="24" t="e">
        <v>#N/A</v>
      </c>
    </row>
    <row r="95" spans="1:2" x14ac:dyDescent="0.25">
      <c r="A95" t="s">
        <v>178</v>
      </c>
      <c r="B95" s="24" t="e">
        <v>#N/A</v>
      </c>
    </row>
    <row r="96" spans="1:2" x14ac:dyDescent="0.25">
      <c r="A96" t="s">
        <v>275</v>
      </c>
      <c r="B96" s="24" t="e">
        <v>#N/A</v>
      </c>
    </row>
    <row r="97" spans="1:2" x14ac:dyDescent="0.25">
      <c r="A97" t="s">
        <v>281</v>
      </c>
      <c r="B97" s="24" t="e">
        <v>#N/A</v>
      </c>
    </row>
    <row r="98" spans="1:2" x14ac:dyDescent="0.25">
      <c r="A98" t="s">
        <v>209</v>
      </c>
      <c r="B98" s="24" t="e">
        <v>#N/A</v>
      </c>
    </row>
    <row r="99" spans="1:2" x14ac:dyDescent="0.25">
      <c r="A99" t="s">
        <v>283</v>
      </c>
      <c r="B99" s="24" t="e">
        <v>#N/A</v>
      </c>
    </row>
    <row r="100" spans="1:2" x14ac:dyDescent="0.25">
      <c r="A100" t="s">
        <v>267</v>
      </c>
      <c r="B100" s="24" t="e">
        <v>#N/A</v>
      </c>
    </row>
    <row r="101" spans="1:2" x14ac:dyDescent="0.25">
      <c r="A101" t="s">
        <v>118</v>
      </c>
      <c r="B101" s="24" t="e">
        <v>#N/A</v>
      </c>
    </row>
    <row r="102" spans="1:2" x14ac:dyDescent="0.25">
      <c r="A102" t="s">
        <v>290</v>
      </c>
      <c r="B102" s="24" t="e">
        <v>#N/A</v>
      </c>
    </row>
    <row r="103" spans="1:2" x14ac:dyDescent="0.25">
      <c r="A103" t="s">
        <v>728</v>
      </c>
      <c r="B103" s="24" t="e">
        <v>#N/A</v>
      </c>
    </row>
    <row r="104" spans="1:2" x14ac:dyDescent="0.25">
      <c r="A104" t="s">
        <v>292</v>
      </c>
      <c r="B104" s="24" t="e">
        <v>#N/A</v>
      </c>
    </row>
    <row r="105" spans="1:2" x14ac:dyDescent="0.25">
      <c r="A105" t="s">
        <v>285</v>
      </c>
      <c r="B105" s="24" t="e">
        <v>#N/A</v>
      </c>
    </row>
    <row r="106" spans="1:2" x14ac:dyDescent="0.25">
      <c r="A106" t="s">
        <v>153</v>
      </c>
      <c r="B106" s="24" t="e">
        <v>#N/A</v>
      </c>
    </row>
    <row r="107" spans="1:2" x14ac:dyDescent="0.25">
      <c r="A107" t="s">
        <v>295</v>
      </c>
      <c r="B107" s="24" t="e">
        <v>#N/A</v>
      </c>
    </row>
    <row r="108" spans="1:2" x14ac:dyDescent="0.25">
      <c r="A108" t="s">
        <v>299</v>
      </c>
      <c r="B108" s="24" t="e">
        <v>#N/A</v>
      </c>
    </row>
    <row r="109" spans="1:2" x14ac:dyDescent="0.25">
      <c r="A109" t="s">
        <v>303</v>
      </c>
      <c r="B109" s="24" t="e">
        <v>#N/A</v>
      </c>
    </row>
    <row r="110" spans="1:2" x14ac:dyDescent="0.25">
      <c r="A110" t="s">
        <v>122</v>
      </c>
      <c r="B110" s="24" t="e">
        <v>#N/A</v>
      </c>
    </row>
    <row r="111" spans="1:2" x14ac:dyDescent="0.25">
      <c r="A111" t="s">
        <v>213</v>
      </c>
      <c r="B111" s="24" t="e">
        <v>#N/A</v>
      </c>
    </row>
    <row r="112" spans="1:2" x14ac:dyDescent="0.25">
      <c r="A112" t="s">
        <v>120</v>
      </c>
      <c r="B112" s="24" t="e">
        <v>#N/A</v>
      </c>
    </row>
    <row r="113" spans="1:2" x14ac:dyDescent="0.25">
      <c r="A113" t="s">
        <v>215</v>
      </c>
      <c r="B113" s="24" t="e">
        <v>#N/A</v>
      </c>
    </row>
    <row r="114" spans="1:2" x14ac:dyDescent="0.25">
      <c r="A114" t="s">
        <v>211</v>
      </c>
      <c r="B114" s="24" t="e">
        <v>#N/A</v>
      </c>
    </row>
    <row r="115" spans="1:2" x14ac:dyDescent="0.25">
      <c r="A115" t="s">
        <v>297</v>
      </c>
      <c r="B115" s="24" t="e">
        <v>#N/A</v>
      </c>
    </row>
    <row r="116" spans="1:2" x14ac:dyDescent="0.25">
      <c r="A116" t="s">
        <v>305</v>
      </c>
      <c r="B116" s="24" t="e">
        <v>#N/A</v>
      </c>
    </row>
    <row r="117" spans="1:2" x14ac:dyDescent="0.25">
      <c r="A117" t="s">
        <v>301</v>
      </c>
      <c r="B117" s="24" t="e">
        <v>#N/A</v>
      </c>
    </row>
    <row r="118" spans="1:2" x14ac:dyDescent="0.25">
      <c r="A118" t="s">
        <v>144</v>
      </c>
      <c r="B118" s="24" t="e">
        <v>#N/A</v>
      </c>
    </row>
    <row r="119" spans="1:2" x14ac:dyDescent="0.25">
      <c r="A119" t="s">
        <v>309</v>
      </c>
      <c r="B119" s="24" t="e">
        <v>#N/A</v>
      </c>
    </row>
    <row r="120" spans="1:2" x14ac:dyDescent="0.25">
      <c r="A120" t="s">
        <v>307</v>
      </c>
      <c r="B120" s="24" t="e">
        <v>#N/A</v>
      </c>
    </row>
    <row r="121" spans="1:2" x14ac:dyDescent="0.25">
      <c r="A121" t="s">
        <v>288</v>
      </c>
      <c r="B121" s="24" t="e">
        <v>#N/A</v>
      </c>
    </row>
    <row r="122" spans="1:2" x14ac:dyDescent="0.25">
      <c r="A122" t="s">
        <v>146</v>
      </c>
      <c r="B122" s="24" t="e">
        <v>#N/A</v>
      </c>
    </row>
    <row r="123" spans="1:2" x14ac:dyDescent="0.25">
      <c r="A123" t="s">
        <v>247</v>
      </c>
      <c r="B123" s="24" t="e">
        <v>#N/A</v>
      </c>
    </row>
    <row r="124" spans="1:2" x14ac:dyDescent="0.25">
      <c r="A124" t="s">
        <v>265</v>
      </c>
      <c r="B124" s="24" t="e">
        <v>#N/A</v>
      </c>
    </row>
    <row r="125" spans="1:2" x14ac:dyDescent="0.25">
      <c r="A125" t="s">
        <v>727</v>
      </c>
      <c r="B125" s="24" t="e">
        <v>#N/A</v>
      </c>
    </row>
    <row r="126" spans="1:2" x14ac:dyDescent="0.25">
      <c r="A126" t="s">
        <v>311</v>
      </c>
      <c r="B126" s="24" t="e">
        <v>#N/A</v>
      </c>
    </row>
    <row r="127" spans="1:2" x14ac:dyDescent="0.25">
      <c r="A127" t="s">
        <v>320</v>
      </c>
      <c r="B127" s="24" t="e">
        <v>#N/A</v>
      </c>
    </row>
    <row r="128" spans="1:2" x14ac:dyDescent="0.25">
      <c r="A128" t="s">
        <v>324</v>
      </c>
      <c r="B128" s="24" t="e">
        <v>#N/A</v>
      </c>
    </row>
    <row r="129" spans="1:2" x14ac:dyDescent="0.25">
      <c r="A129" t="s">
        <v>326</v>
      </c>
      <c r="B129" s="24" t="e">
        <v>#N/A</v>
      </c>
    </row>
    <row r="130" spans="1:2" x14ac:dyDescent="0.25">
      <c r="A130" t="s">
        <v>331</v>
      </c>
      <c r="B130" s="24" t="e">
        <v>#N/A</v>
      </c>
    </row>
    <row r="131" spans="1:2" x14ac:dyDescent="0.25">
      <c r="A131" t="s">
        <v>329</v>
      </c>
      <c r="B131" s="24" t="e">
        <v>#N/A</v>
      </c>
    </row>
    <row r="132" spans="1:2" x14ac:dyDescent="0.25">
      <c r="A132" t="s">
        <v>333</v>
      </c>
      <c r="B132" s="24" t="e">
        <v>#N/A</v>
      </c>
    </row>
    <row r="133" spans="1:2" x14ac:dyDescent="0.25">
      <c r="A133" t="s">
        <v>335</v>
      </c>
      <c r="B133" s="24" t="e">
        <v>#N/A</v>
      </c>
    </row>
    <row r="134" spans="1:2" x14ac:dyDescent="0.25">
      <c r="A134" t="s">
        <v>340</v>
      </c>
      <c r="B134" s="24" t="e">
        <v>#N/A</v>
      </c>
    </row>
    <row r="135" spans="1:2" x14ac:dyDescent="0.25">
      <c r="A135" t="s">
        <v>342</v>
      </c>
      <c r="B135" s="24" t="e">
        <v>#N/A</v>
      </c>
    </row>
    <row r="136" spans="1:2" x14ac:dyDescent="0.25">
      <c r="A136" t="s">
        <v>338</v>
      </c>
      <c r="B136" s="24" t="e">
        <v>#N/A</v>
      </c>
    </row>
    <row r="137" spans="1:2" x14ac:dyDescent="0.25">
      <c r="A137" t="s">
        <v>344</v>
      </c>
      <c r="B137" s="24" t="e">
        <v>#N/A</v>
      </c>
    </row>
    <row r="138" spans="1:2" x14ac:dyDescent="0.25">
      <c r="A138" t="s">
        <v>346</v>
      </c>
      <c r="B138" s="24" t="e">
        <v>#N/A</v>
      </c>
    </row>
    <row r="139" spans="1:2" x14ac:dyDescent="0.25">
      <c r="A139" t="s">
        <v>353</v>
      </c>
      <c r="B139" s="24" t="e">
        <v>#N/A</v>
      </c>
    </row>
    <row r="140" spans="1:2" x14ac:dyDescent="0.25">
      <c r="A140" t="s">
        <v>350</v>
      </c>
      <c r="B140" s="24" t="e">
        <v>#N/A</v>
      </c>
    </row>
    <row r="141" spans="1:2" x14ac:dyDescent="0.25">
      <c r="A141" t="s">
        <v>348</v>
      </c>
      <c r="B141" s="24" t="e">
        <v>#N/A</v>
      </c>
    </row>
    <row r="142" spans="1:2" x14ac:dyDescent="0.25">
      <c r="A142" t="s">
        <v>355</v>
      </c>
      <c r="B142" s="24" t="e">
        <v>#N/A</v>
      </c>
    </row>
    <row r="143" spans="1:2" x14ac:dyDescent="0.25">
      <c r="A143" t="s">
        <v>375</v>
      </c>
      <c r="B143" s="24" t="e">
        <v>#N/A</v>
      </c>
    </row>
    <row r="144" spans="1:2" x14ac:dyDescent="0.25">
      <c r="A144" t="s">
        <v>365</v>
      </c>
      <c r="B144" s="24" t="e">
        <v>#N/A</v>
      </c>
    </row>
    <row r="145" spans="1:2" x14ac:dyDescent="0.25">
      <c r="A145" t="s">
        <v>729</v>
      </c>
      <c r="B145" s="24" t="e">
        <v>#N/A</v>
      </c>
    </row>
    <row r="146" spans="1:2" x14ac:dyDescent="0.25">
      <c r="A146" t="s">
        <v>370</v>
      </c>
      <c r="B146" s="24" t="e">
        <v>#N/A</v>
      </c>
    </row>
    <row r="147" spans="1:2" x14ac:dyDescent="0.25">
      <c r="A147" t="s">
        <v>360</v>
      </c>
      <c r="B147" s="24" t="e">
        <v>#N/A</v>
      </c>
    </row>
    <row r="148" spans="1:2" x14ac:dyDescent="0.25">
      <c r="A148" t="s">
        <v>373</v>
      </c>
      <c r="B148" s="24" t="e">
        <v>#N/A</v>
      </c>
    </row>
    <row r="149" spans="1:2" x14ac:dyDescent="0.25">
      <c r="A149" t="s">
        <v>362</v>
      </c>
      <c r="B149" s="24" t="e">
        <v>#N/A</v>
      </c>
    </row>
    <row r="150" spans="1:2" x14ac:dyDescent="0.25">
      <c r="A150" t="s">
        <v>378</v>
      </c>
      <c r="B150" s="24" t="e">
        <v>#N/A</v>
      </c>
    </row>
    <row r="151" spans="1:2" x14ac:dyDescent="0.25">
      <c r="A151" t="s">
        <v>388</v>
      </c>
      <c r="B151" s="24" t="e">
        <v>#N/A</v>
      </c>
    </row>
    <row r="152" spans="1:2" x14ac:dyDescent="0.25">
      <c r="A152" t="s">
        <v>380</v>
      </c>
      <c r="B152" s="24" t="e">
        <v>#N/A</v>
      </c>
    </row>
    <row r="153" spans="1:2" x14ac:dyDescent="0.25">
      <c r="A153" t="s">
        <v>368</v>
      </c>
      <c r="B153" s="24" t="e">
        <v>#N/A</v>
      </c>
    </row>
    <row r="154" spans="1:2" x14ac:dyDescent="0.25">
      <c r="A154" t="s">
        <v>382</v>
      </c>
      <c r="B154" s="24" t="e">
        <v>#N/A</v>
      </c>
    </row>
    <row r="155" spans="1:2" x14ac:dyDescent="0.25">
      <c r="A155" t="s">
        <v>384</v>
      </c>
      <c r="B155" s="24" t="e">
        <v>#N/A</v>
      </c>
    </row>
    <row r="156" spans="1:2" x14ac:dyDescent="0.25">
      <c r="A156" t="s">
        <v>386</v>
      </c>
      <c r="B156" s="24" t="e">
        <v>#N/A</v>
      </c>
    </row>
    <row r="157" spans="1:2" x14ac:dyDescent="0.25">
      <c r="A157" t="s">
        <v>393</v>
      </c>
      <c r="B157" s="24" t="e">
        <v>#N/A</v>
      </c>
    </row>
    <row r="158" spans="1:2" x14ac:dyDescent="0.25">
      <c r="A158" t="s">
        <v>395</v>
      </c>
      <c r="B158" s="24" t="e">
        <v>#N/A</v>
      </c>
    </row>
    <row r="159" spans="1:2" x14ac:dyDescent="0.25">
      <c r="A159" t="s">
        <v>397</v>
      </c>
      <c r="B159" s="24" t="e">
        <v>#N/A</v>
      </c>
    </row>
    <row r="160" spans="1:2" x14ac:dyDescent="0.25">
      <c r="A160" t="s">
        <v>401</v>
      </c>
      <c r="B160" s="24" t="e">
        <v>#N/A</v>
      </c>
    </row>
    <row r="161" spans="1:2" x14ac:dyDescent="0.25">
      <c r="A161" t="s">
        <v>391</v>
      </c>
      <c r="B161" s="24" t="e">
        <v>#N/A</v>
      </c>
    </row>
    <row r="162" spans="1:2" x14ac:dyDescent="0.25">
      <c r="A162" t="s">
        <v>399</v>
      </c>
      <c r="B162" s="24" t="e">
        <v>#N/A</v>
      </c>
    </row>
    <row r="163" spans="1:2" x14ac:dyDescent="0.25">
      <c r="A163" t="s">
        <v>403</v>
      </c>
      <c r="B163" s="24" t="e">
        <v>#N/A</v>
      </c>
    </row>
    <row r="164" spans="1:2" x14ac:dyDescent="0.25">
      <c r="A164" t="s">
        <v>405</v>
      </c>
      <c r="B164" s="24" t="e">
        <v>#N/A</v>
      </c>
    </row>
    <row r="165" spans="1:2" x14ac:dyDescent="0.25">
      <c r="A165" t="s">
        <v>314</v>
      </c>
      <c r="B165" s="24" t="e">
        <v>#N/A</v>
      </c>
    </row>
    <row r="166" spans="1:2" x14ac:dyDescent="0.25">
      <c r="A166" t="s">
        <v>411</v>
      </c>
      <c r="B166" s="24" t="e">
        <v>#N/A</v>
      </c>
    </row>
    <row r="167" spans="1:2" x14ac:dyDescent="0.25">
      <c r="A167" t="s">
        <v>413</v>
      </c>
      <c r="B167" s="24" t="e">
        <v>#N/A</v>
      </c>
    </row>
    <row r="168" spans="1:2" x14ac:dyDescent="0.25">
      <c r="A168" t="s">
        <v>357</v>
      </c>
      <c r="B168" s="24" t="e">
        <v>#N/A</v>
      </c>
    </row>
    <row r="169" spans="1:2" x14ac:dyDescent="0.25">
      <c r="A169" t="s">
        <v>432</v>
      </c>
      <c r="B169" s="24" t="e">
        <v>#N/A</v>
      </c>
    </row>
    <row r="170" spans="1:2" x14ac:dyDescent="0.25">
      <c r="A170" t="s">
        <v>423</v>
      </c>
      <c r="B170" s="24" t="e">
        <v>#N/A</v>
      </c>
    </row>
    <row r="171" spans="1:2" x14ac:dyDescent="0.25">
      <c r="A171" t="s">
        <v>429</v>
      </c>
      <c r="B171" s="24" t="e">
        <v>#N/A</v>
      </c>
    </row>
    <row r="172" spans="1:2" x14ac:dyDescent="0.25">
      <c r="A172" t="s">
        <v>418</v>
      </c>
      <c r="B172" s="24" t="e">
        <v>#N/A</v>
      </c>
    </row>
    <row r="173" spans="1:2" x14ac:dyDescent="0.25">
      <c r="A173" t="s">
        <v>415</v>
      </c>
      <c r="B173" s="24" t="e">
        <v>#N/A</v>
      </c>
    </row>
    <row r="174" spans="1:2" x14ac:dyDescent="0.25">
      <c r="A174" t="s">
        <v>421</v>
      </c>
      <c r="B174" s="24" t="e">
        <v>#N/A</v>
      </c>
    </row>
    <row r="175" spans="1:2" x14ac:dyDescent="0.25">
      <c r="A175" t="s">
        <v>445</v>
      </c>
      <c r="B175" s="24" t="e">
        <v>#N/A</v>
      </c>
    </row>
    <row r="176" spans="1:2" x14ac:dyDescent="0.25">
      <c r="A176" t="s">
        <v>426</v>
      </c>
      <c r="B176" s="24" t="e">
        <v>#N/A</v>
      </c>
    </row>
    <row r="177" spans="1:2" x14ac:dyDescent="0.25">
      <c r="A177" t="s">
        <v>452</v>
      </c>
      <c r="B177" s="24" t="e">
        <v>#N/A</v>
      </c>
    </row>
    <row r="178" spans="1:2" x14ac:dyDescent="0.25">
      <c r="A178" t="s">
        <v>450</v>
      </c>
      <c r="B178" s="24" t="e">
        <v>#N/A</v>
      </c>
    </row>
    <row r="179" spans="1:2" x14ac:dyDescent="0.25">
      <c r="A179" t="s">
        <v>439</v>
      </c>
      <c r="B179" s="24" t="e">
        <v>#N/A</v>
      </c>
    </row>
    <row r="180" spans="1:2" x14ac:dyDescent="0.25">
      <c r="A180" t="s">
        <v>441</v>
      </c>
      <c r="B180" s="24" t="e">
        <v>#N/A</v>
      </c>
    </row>
    <row r="181" spans="1:2" x14ac:dyDescent="0.25">
      <c r="A181" t="s">
        <v>436</v>
      </c>
      <c r="B181" s="24" t="e">
        <v>#N/A</v>
      </c>
    </row>
    <row r="182" spans="1:2" x14ac:dyDescent="0.25">
      <c r="A182" t="s">
        <v>434</v>
      </c>
      <c r="B182" s="24" t="e">
        <v>#N/A</v>
      </c>
    </row>
    <row r="183" spans="1:2" x14ac:dyDescent="0.25">
      <c r="A183" t="s">
        <v>730</v>
      </c>
      <c r="B183" s="24" t="e">
        <v>#N/A</v>
      </c>
    </row>
    <row r="184" spans="1:2" x14ac:dyDescent="0.25">
      <c r="A184" t="s">
        <v>448</v>
      </c>
      <c r="B184" s="24" t="e">
        <v>#N/A</v>
      </c>
    </row>
    <row r="185" spans="1:2" x14ac:dyDescent="0.25">
      <c r="A185" t="s">
        <v>443</v>
      </c>
      <c r="B185" s="24" t="e">
        <v>#N/A</v>
      </c>
    </row>
    <row r="186" spans="1:2" x14ac:dyDescent="0.25">
      <c r="A186" t="s">
        <v>454</v>
      </c>
      <c r="B186" s="24" t="e">
        <v>#N/A</v>
      </c>
    </row>
    <row r="187" spans="1:2" x14ac:dyDescent="0.25">
      <c r="A187" t="s">
        <v>456</v>
      </c>
      <c r="B187" s="24" t="e">
        <v>#N/A</v>
      </c>
    </row>
    <row r="188" spans="1:2" x14ac:dyDescent="0.25">
      <c r="A188" t="s">
        <v>458</v>
      </c>
      <c r="B188" s="24" t="e">
        <v>#N/A</v>
      </c>
    </row>
    <row r="189" spans="1:2" x14ac:dyDescent="0.25">
      <c r="A189" t="s">
        <v>460</v>
      </c>
      <c r="B189" s="24" t="e">
        <v>#N/A</v>
      </c>
    </row>
    <row r="190" spans="1:2" x14ac:dyDescent="0.25">
      <c r="A190" t="s">
        <v>732</v>
      </c>
      <c r="B190" s="24" t="e">
        <v>#N/A</v>
      </c>
    </row>
    <row r="191" spans="1:2" x14ac:dyDescent="0.25">
      <c r="A191" t="s">
        <v>474</v>
      </c>
      <c r="B191" s="24" t="e">
        <v>#N/A</v>
      </c>
    </row>
    <row r="192" spans="1:2" x14ac:dyDescent="0.25">
      <c r="A192" t="s">
        <v>465</v>
      </c>
      <c r="B192" s="24" t="e">
        <v>#N/A</v>
      </c>
    </row>
    <row r="193" spans="1:2" x14ac:dyDescent="0.25">
      <c r="A193" t="s">
        <v>467</v>
      </c>
      <c r="B193" s="24" t="e">
        <v>#N/A</v>
      </c>
    </row>
    <row r="194" spans="1:2" x14ac:dyDescent="0.25">
      <c r="A194" t="s">
        <v>471</v>
      </c>
      <c r="B194" s="24" t="e">
        <v>#N/A</v>
      </c>
    </row>
    <row r="195" spans="1:2" x14ac:dyDescent="0.25">
      <c r="A195" t="s">
        <v>731</v>
      </c>
      <c r="B195" s="24" t="e">
        <v>#N/A</v>
      </c>
    </row>
    <row r="196" spans="1:2" x14ac:dyDescent="0.25">
      <c r="A196" t="s">
        <v>480</v>
      </c>
      <c r="B196" s="24" t="e">
        <v>#N/A</v>
      </c>
    </row>
    <row r="197" spans="1:2" x14ac:dyDescent="0.25">
      <c r="A197" t="s">
        <v>476</v>
      </c>
      <c r="B197" s="24" t="e">
        <v>#N/A</v>
      </c>
    </row>
    <row r="198" spans="1:2" x14ac:dyDescent="0.25">
      <c r="A198" t="s">
        <v>478</v>
      </c>
      <c r="B198" s="24" t="e">
        <v>#N/A</v>
      </c>
    </row>
    <row r="199" spans="1:2" x14ac:dyDescent="0.25">
      <c r="A199" t="s">
        <v>487</v>
      </c>
      <c r="B199" s="24" t="e">
        <v>#N/A</v>
      </c>
    </row>
    <row r="200" spans="1:2" x14ac:dyDescent="0.25">
      <c r="A200" t="s">
        <v>489</v>
      </c>
      <c r="B200" s="24" t="e">
        <v>#N/A</v>
      </c>
    </row>
    <row r="201" spans="1:2" x14ac:dyDescent="0.25">
      <c r="A201" t="s">
        <v>482</v>
      </c>
      <c r="B201" s="24" t="e">
        <v>#N/A</v>
      </c>
    </row>
    <row r="202" spans="1:2" x14ac:dyDescent="0.25">
      <c r="A202" t="s">
        <v>485</v>
      </c>
      <c r="B202" s="24" t="e">
        <v>#N/A</v>
      </c>
    </row>
    <row r="203" spans="1:2" x14ac:dyDescent="0.25">
      <c r="A203" t="s">
        <v>469</v>
      </c>
      <c r="B203" s="24" t="e">
        <v>#N/A</v>
      </c>
    </row>
    <row r="204" spans="1:2" x14ac:dyDescent="0.25">
      <c r="A204" t="s">
        <v>463</v>
      </c>
      <c r="B204" s="24" t="e">
        <v>#N/A</v>
      </c>
    </row>
    <row r="205" spans="1:2" x14ac:dyDescent="0.25">
      <c r="A205" t="s">
        <v>491</v>
      </c>
      <c r="B205" s="24" t="e">
        <v>#N/A</v>
      </c>
    </row>
    <row r="206" spans="1:2" x14ac:dyDescent="0.25">
      <c r="A206" t="s">
        <v>493</v>
      </c>
      <c r="B206" s="24" t="e">
        <v>#N/A</v>
      </c>
    </row>
    <row r="207" spans="1:2" x14ac:dyDescent="0.25">
      <c r="A207" t="s">
        <v>499</v>
      </c>
      <c r="B207" s="24" t="e">
        <v>#N/A</v>
      </c>
    </row>
    <row r="208" spans="1:2" x14ac:dyDescent="0.25">
      <c r="A208" t="s">
        <v>502</v>
      </c>
      <c r="B208" s="24" t="e">
        <v>#N/A</v>
      </c>
    </row>
    <row r="209" spans="1:2" x14ac:dyDescent="0.25">
      <c r="A209" t="s">
        <v>506</v>
      </c>
      <c r="B209" s="24" t="e">
        <v>#N/A</v>
      </c>
    </row>
    <row r="210" spans="1:2" x14ac:dyDescent="0.25">
      <c r="A210" t="s">
        <v>504</v>
      </c>
      <c r="B210" s="24" t="e">
        <v>#N/A</v>
      </c>
    </row>
    <row r="211" spans="1:2" x14ac:dyDescent="0.25">
      <c r="A211" t="s">
        <v>513</v>
      </c>
      <c r="B211" s="24" t="e">
        <v>#N/A</v>
      </c>
    </row>
    <row r="212" spans="1:2" x14ac:dyDescent="0.25">
      <c r="A212" t="s">
        <v>495</v>
      </c>
      <c r="B212" s="24" t="e">
        <v>#N/A</v>
      </c>
    </row>
    <row r="213" spans="1:2" x14ac:dyDescent="0.25">
      <c r="A213" t="s">
        <v>508</v>
      </c>
      <c r="B213" s="24" t="e">
        <v>#N/A</v>
      </c>
    </row>
    <row r="214" spans="1:2" x14ac:dyDescent="0.25">
      <c r="A214" t="s">
        <v>207</v>
      </c>
      <c r="B214" s="24" t="e">
        <v>#N/A</v>
      </c>
    </row>
    <row r="215" spans="1:2" x14ac:dyDescent="0.25">
      <c r="A215" t="s">
        <v>52</v>
      </c>
      <c r="B215" s="24" t="e">
        <v>#N/A</v>
      </c>
    </row>
    <row r="216" spans="1:2" x14ac:dyDescent="0.25">
      <c r="A216" t="s">
        <v>725</v>
      </c>
      <c r="B216" s="24" t="e">
        <v>#N/A</v>
      </c>
    </row>
    <row r="217" spans="1:2" x14ac:dyDescent="0.25">
      <c r="A217" t="s">
        <v>27</v>
      </c>
      <c r="B217" s="24" t="e">
        <v>#N/A</v>
      </c>
    </row>
    <row r="218" spans="1:2" x14ac:dyDescent="0.25">
      <c r="A218" t="s">
        <v>707</v>
      </c>
      <c r="B218" s="24" t="e">
        <v>#N/A</v>
      </c>
    </row>
    <row r="219" spans="1:2" x14ac:dyDescent="0.25">
      <c r="A219" t="s">
        <v>322</v>
      </c>
      <c r="B219" s="24" t="e">
        <v>#N/A</v>
      </c>
    </row>
    <row r="220" spans="1:2" x14ac:dyDescent="0.25">
      <c r="A220" t="s">
        <v>13</v>
      </c>
      <c r="B220" s="24" t="e">
        <v>#N/A</v>
      </c>
    </row>
    <row r="221" spans="1:2" x14ac:dyDescent="0.25">
      <c r="A221" t="s">
        <v>624</v>
      </c>
      <c r="B221" s="24" t="e">
        <v>#N/A</v>
      </c>
    </row>
    <row r="222" spans="1:2" x14ac:dyDescent="0.25">
      <c r="A222" t="s">
        <v>98</v>
      </c>
      <c r="B222" s="24" t="e">
        <v>#N/A</v>
      </c>
    </row>
    <row r="223" spans="1:2" x14ac:dyDescent="0.25">
      <c r="A223" t="s">
        <v>407</v>
      </c>
      <c r="B223" s="24" t="e">
        <v>#N/A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00"/>
  <sheetViews>
    <sheetView topLeftCell="K1" workbookViewId="0">
      <selection activeCell="N322" sqref="N322"/>
    </sheetView>
  </sheetViews>
  <sheetFormatPr baseColWidth="10" defaultColWidth="14.42578125" defaultRowHeight="15" customHeight="1" x14ac:dyDescent="0.25"/>
  <cols>
    <col min="1" max="1" width="16.5703125" customWidth="1"/>
    <col min="2" max="2" width="17.42578125" customWidth="1"/>
    <col min="3" max="3" width="9.28515625" customWidth="1"/>
    <col min="4" max="4" width="20.28515625" customWidth="1"/>
    <col min="5" max="5" width="22.140625" customWidth="1"/>
    <col min="6" max="6" width="10.140625" customWidth="1"/>
    <col min="7" max="7" width="28.5703125" customWidth="1"/>
    <col min="8" max="8" width="21.42578125" customWidth="1"/>
    <col min="9" max="9" width="40.7109375" customWidth="1"/>
    <col min="10" max="10" width="18.42578125" customWidth="1"/>
    <col min="11" max="11" width="38.140625" customWidth="1"/>
    <col min="12" max="12" width="16.140625" customWidth="1"/>
    <col min="13" max="13" width="15.42578125" customWidth="1"/>
    <col min="14" max="14" width="69.5703125" customWidth="1"/>
    <col min="15" max="26" width="9.140625" customWidth="1"/>
  </cols>
  <sheetData>
    <row r="1" spans="1:26" x14ac:dyDescent="0.25">
      <c r="A1" s="1" t="s">
        <v>0</v>
      </c>
      <c r="B1" s="2" t="s">
        <v>1</v>
      </c>
      <c r="C1" s="3" t="s">
        <v>2</v>
      </c>
      <c r="D1" s="4" t="s">
        <v>3</v>
      </c>
      <c r="E1" s="5" t="s">
        <v>4</v>
      </c>
      <c r="F1" s="3" t="s">
        <v>5</v>
      </c>
      <c r="G1" s="3" t="s">
        <v>6</v>
      </c>
      <c r="H1" s="3" t="s">
        <v>7</v>
      </c>
      <c r="I1" s="3" t="s">
        <v>8</v>
      </c>
      <c r="J1" s="3" t="s">
        <v>9</v>
      </c>
      <c r="K1" s="3" t="s">
        <v>10</v>
      </c>
      <c r="L1" s="6" t="s">
        <v>11</v>
      </c>
      <c r="M1" s="3" t="s">
        <v>12</v>
      </c>
      <c r="N1" s="6"/>
    </row>
    <row r="2" spans="1:26" hidden="1" x14ac:dyDescent="0.25">
      <c r="A2" s="3" t="s">
        <v>13</v>
      </c>
      <c r="B2" s="6">
        <v>373914100</v>
      </c>
      <c r="C2" s="3" t="s">
        <v>14</v>
      </c>
      <c r="D2" s="4">
        <v>45429</v>
      </c>
      <c r="E2" s="4">
        <v>45514</v>
      </c>
      <c r="F2" s="3" t="s">
        <v>15</v>
      </c>
      <c r="G2" s="3" t="s">
        <v>16</v>
      </c>
      <c r="H2" s="3">
        <v>900633448</v>
      </c>
      <c r="I2" s="3" t="s">
        <v>17</v>
      </c>
      <c r="J2" s="3">
        <v>1086017548</v>
      </c>
      <c r="K2" s="3" t="s">
        <v>18</v>
      </c>
      <c r="L2" s="6">
        <v>260000000</v>
      </c>
      <c r="M2" s="6">
        <f t="shared" ref="M2:M256" si="0">B2-L2</f>
        <v>113914100</v>
      </c>
      <c r="N2" s="6"/>
    </row>
    <row r="3" spans="1:26" hidden="1" x14ac:dyDescent="0.25">
      <c r="A3" s="3" t="s">
        <v>19</v>
      </c>
      <c r="B3" s="6">
        <v>8000000</v>
      </c>
      <c r="C3" s="3" t="s">
        <v>14</v>
      </c>
      <c r="D3" s="4">
        <v>45398</v>
      </c>
      <c r="E3" s="4">
        <v>45520</v>
      </c>
      <c r="F3" s="3" t="s">
        <v>20</v>
      </c>
      <c r="G3" s="3" t="s">
        <v>21</v>
      </c>
      <c r="H3" s="3">
        <v>1030606749</v>
      </c>
      <c r="I3" s="3" t="s">
        <v>22</v>
      </c>
      <c r="J3" s="3">
        <v>59822566</v>
      </c>
      <c r="K3" s="3" t="s">
        <v>23</v>
      </c>
      <c r="L3" s="6">
        <v>8000000</v>
      </c>
      <c r="M3" s="6">
        <f t="shared" si="0"/>
        <v>0</v>
      </c>
      <c r="N3" s="6"/>
    </row>
    <row r="4" spans="1:26" hidden="1" x14ac:dyDescent="0.25">
      <c r="A4" s="3" t="s">
        <v>24</v>
      </c>
      <c r="B4" s="6">
        <v>8000000</v>
      </c>
      <c r="C4" s="3" t="s">
        <v>14</v>
      </c>
      <c r="D4" s="4">
        <v>45398</v>
      </c>
      <c r="E4" s="4">
        <v>45520</v>
      </c>
      <c r="F4" s="3" t="s">
        <v>20</v>
      </c>
      <c r="G4" s="3" t="s">
        <v>21</v>
      </c>
      <c r="H4" s="3">
        <v>1085302942</v>
      </c>
      <c r="I4" s="3" t="s">
        <v>25</v>
      </c>
      <c r="J4" s="3">
        <v>98333941</v>
      </c>
      <c r="K4" s="3" t="s">
        <v>26</v>
      </c>
      <c r="L4" s="6">
        <v>8000000</v>
      </c>
      <c r="M4" s="6">
        <f t="shared" si="0"/>
        <v>0</v>
      </c>
      <c r="N4" s="6"/>
    </row>
    <row r="5" spans="1:26" hidden="1" x14ac:dyDescent="0.25">
      <c r="A5" s="3" t="s">
        <v>27</v>
      </c>
      <c r="B5" s="6">
        <v>30000000</v>
      </c>
      <c r="C5" s="3" t="s">
        <v>14</v>
      </c>
      <c r="D5" s="4">
        <v>45398</v>
      </c>
      <c r="E5" s="4">
        <v>45489</v>
      </c>
      <c r="F5" s="3" t="s">
        <v>28</v>
      </c>
      <c r="G5" s="3" t="s">
        <v>21</v>
      </c>
      <c r="H5" s="3">
        <v>12961661</v>
      </c>
      <c r="I5" s="3" t="s">
        <v>29</v>
      </c>
      <c r="J5" s="3">
        <v>59822566</v>
      </c>
      <c r="K5" s="3" t="s">
        <v>23</v>
      </c>
      <c r="L5" s="6">
        <v>30000000</v>
      </c>
      <c r="M5" s="6">
        <f t="shared" si="0"/>
        <v>0</v>
      </c>
      <c r="N5" s="6"/>
    </row>
    <row r="6" spans="1:26" hidden="1" x14ac:dyDescent="0.25">
      <c r="A6" s="3" t="s">
        <v>30</v>
      </c>
      <c r="B6" s="6">
        <v>19302400</v>
      </c>
      <c r="C6" s="3" t="s">
        <v>14</v>
      </c>
      <c r="D6" s="4">
        <v>45398</v>
      </c>
      <c r="E6" s="4">
        <v>45520</v>
      </c>
      <c r="F6" s="3" t="s">
        <v>31</v>
      </c>
      <c r="G6" s="3" t="s">
        <v>21</v>
      </c>
      <c r="H6" s="3">
        <v>1085338534</v>
      </c>
      <c r="I6" s="3" t="s">
        <v>32</v>
      </c>
      <c r="J6" s="3">
        <v>98390119</v>
      </c>
      <c r="K6" s="3" t="s">
        <v>33</v>
      </c>
      <c r="L6" s="6">
        <v>19302400</v>
      </c>
      <c r="M6" s="6">
        <f t="shared" si="0"/>
        <v>0</v>
      </c>
      <c r="N6" s="6"/>
    </row>
    <row r="7" spans="1:26" hidden="1" x14ac:dyDescent="0.25">
      <c r="A7" s="3" t="s">
        <v>34</v>
      </c>
      <c r="B7" s="6">
        <v>8000000</v>
      </c>
      <c r="C7" s="3" t="s">
        <v>14</v>
      </c>
      <c r="D7" s="4">
        <v>45398</v>
      </c>
      <c r="E7" s="4">
        <v>45520</v>
      </c>
      <c r="F7" s="3" t="s">
        <v>20</v>
      </c>
      <c r="G7" s="3" t="s">
        <v>21</v>
      </c>
      <c r="H7" s="3">
        <v>1085300095</v>
      </c>
      <c r="I7" s="3" t="s">
        <v>35</v>
      </c>
      <c r="J7" s="3">
        <v>59822566</v>
      </c>
      <c r="K7" s="3" t="s">
        <v>23</v>
      </c>
      <c r="L7" s="6">
        <v>8000000</v>
      </c>
      <c r="M7" s="6">
        <f t="shared" si="0"/>
        <v>0</v>
      </c>
      <c r="N7" s="6"/>
    </row>
    <row r="8" spans="1:26" hidden="1" x14ac:dyDescent="0.25">
      <c r="A8" s="3" t="s">
        <v>36</v>
      </c>
      <c r="B8" s="6">
        <v>8000000</v>
      </c>
      <c r="C8" s="3" t="s">
        <v>14</v>
      </c>
      <c r="D8" s="4">
        <v>45398</v>
      </c>
      <c r="E8" s="4">
        <v>45520</v>
      </c>
      <c r="F8" s="3" t="s">
        <v>20</v>
      </c>
      <c r="G8" s="3" t="s">
        <v>21</v>
      </c>
      <c r="H8" s="3">
        <v>1004635031</v>
      </c>
      <c r="I8" s="3" t="s">
        <v>37</v>
      </c>
      <c r="J8" s="3">
        <v>98333941</v>
      </c>
      <c r="K8" s="3" t="s">
        <v>26</v>
      </c>
      <c r="L8" s="6">
        <v>8000000</v>
      </c>
      <c r="M8" s="6">
        <f t="shared" si="0"/>
        <v>0</v>
      </c>
      <c r="N8" s="6"/>
    </row>
    <row r="9" spans="1:26" hidden="1" x14ac:dyDescent="0.25">
      <c r="A9" s="3" t="s">
        <v>38</v>
      </c>
      <c r="B9" s="6">
        <v>8000000</v>
      </c>
      <c r="C9" s="3" t="s">
        <v>14</v>
      </c>
      <c r="D9" s="4">
        <v>45398</v>
      </c>
      <c r="E9" s="4">
        <v>45520</v>
      </c>
      <c r="F9" s="3" t="s">
        <v>20</v>
      </c>
      <c r="G9" s="3" t="s">
        <v>21</v>
      </c>
      <c r="H9" s="3">
        <v>1004234290</v>
      </c>
      <c r="I9" s="3" t="s">
        <v>39</v>
      </c>
      <c r="J9" s="3">
        <v>59822566</v>
      </c>
      <c r="K9" s="3" t="s">
        <v>23</v>
      </c>
      <c r="L9" s="6">
        <v>8000000</v>
      </c>
      <c r="M9" s="6">
        <f t="shared" si="0"/>
        <v>0</v>
      </c>
      <c r="N9" s="6"/>
    </row>
    <row r="10" spans="1:26" hidden="1" x14ac:dyDescent="0.25">
      <c r="A10" s="3" t="s">
        <v>40</v>
      </c>
      <c r="B10" s="6">
        <v>19000000</v>
      </c>
      <c r="C10" s="3" t="s">
        <v>14</v>
      </c>
      <c r="D10" s="4">
        <v>45398</v>
      </c>
      <c r="E10" s="4">
        <v>45520</v>
      </c>
      <c r="F10" s="3" t="s">
        <v>41</v>
      </c>
      <c r="G10" s="3" t="s">
        <v>21</v>
      </c>
      <c r="H10" s="3">
        <v>1085260497</v>
      </c>
      <c r="I10" s="3" t="s">
        <v>42</v>
      </c>
      <c r="J10" s="3">
        <v>98333941</v>
      </c>
      <c r="K10" s="3" t="s">
        <v>26</v>
      </c>
      <c r="L10" s="6">
        <v>19000000</v>
      </c>
      <c r="M10" s="6">
        <f t="shared" si="0"/>
        <v>0</v>
      </c>
      <c r="N10" s="6"/>
    </row>
    <row r="11" spans="1:26" hidden="1" x14ac:dyDescent="0.25">
      <c r="A11" s="3" t="s">
        <v>43</v>
      </c>
      <c r="B11" s="6">
        <v>30000000</v>
      </c>
      <c r="C11" s="3" t="s">
        <v>14</v>
      </c>
      <c r="D11" s="4">
        <v>45398</v>
      </c>
      <c r="E11" s="4">
        <v>45520</v>
      </c>
      <c r="F11" s="3" t="s">
        <v>28</v>
      </c>
      <c r="G11" s="3" t="s">
        <v>21</v>
      </c>
      <c r="H11" s="3">
        <v>1085320661</v>
      </c>
      <c r="I11" s="3" t="s">
        <v>44</v>
      </c>
      <c r="J11" s="3">
        <v>98333941</v>
      </c>
      <c r="K11" s="3" t="s">
        <v>26</v>
      </c>
      <c r="L11" s="6">
        <v>30000000</v>
      </c>
      <c r="M11" s="6">
        <f t="shared" si="0"/>
        <v>0</v>
      </c>
      <c r="N11" s="6"/>
    </row>
    <row r="12" spans="1:26" hidden="1" x14ac:dyDescent="0.25">
      <c r="A12" s="3" t="s">
        <v>45</v>
      </c>
      <c r="B12" s="6">
        <v>19000000</v>
      </c>
      <c r="C12" s="3" t="s">
        <v>14</v>
      </c>
      <c r="D12" s="4">
        <v>45398</v>
      </c>
      <c r="E12" s="4">
        <v>45520</v>
      </c>
      <c r="F12" s="3" t="s">
        <v>46</v>
      </c>
      <c r="G12" s="3" t="s">
        <v>21</v>
      </c>
      <c r="H12" s="3">
        <v>59821282</v>
      </c>
      <c r="I12" s="3" t="s">
        <v>47</v>
      </c>
      <c r="J12" s="3">
        <v>59822566</v>
      </c>
      <c r="K12" s="3" t="s">
        <v>23</v>
      </c>
      <c r="L12" s="6">
        <v>19000000</v>
      </c>
      <c r="M12" s="6">
        <f t="shared" si="0"/>
        <v>0</v>
      </c>
      <c r="N12" s="6"/>
    </row>
    <row r="13" spans="1:26" hidden="1" x14ac:dyDescent="0.25">
      <c r="A13" s="3" t="s">
        <v>48</v>
      </c>
      <c r="B13" s="6">
        <v>30000000</v>
      </c>
      <c r="C13" s="3" t="s">
        <v>14</v>
      </c>
      <c r="D13" s="4">
        <v>45398</v>
      </c>
      <c r="E13" s="4">
        <v>45520</v>
      </c>
      <c r="F13" s="3" t="s">
        <v>28</v>
      </c>
      <c r="G13" s="3" t="s">
        <v>21</v>
      </c>
      <c r="H13" s="3">
        <v>1085332934</v>
      </c>
      <c r="I13" s="3" t="s">
        <v>49</v>
      </c>
      <c r="J13" s="3">
        <v>59822566</v>
      </c>
      <c r="K13" s="3" t="s">
        <v>23</v>
      </c>
      <c r="L13" s="6">
        <v>30000000</v>
      </c>
      <c r="M13" s="6">
        <f t="shared" si="0"/>
        <v>0</v>
      </c>
      <c r="N13" s="6"/>
    </row>
    <row r="14" spans="1:26" hidden="1" x14ac:dyDescent="0.25">
      <c r="A14" s="3" t="s">
        <v>50</v>
      </c>
      <c r="B14" s="6">
        <v>30000000</v>
      </c>
      <c r="C14" s="3" t="s">
        <v>14</v>
      </c>
      <c r="D14" s="4">
        <v>45398</v>
      </c>
      <c r="E14" s="4">
        <v>45520</v>
      </c>
      <c r="F14" s="3" t="s">
        <v>28</v>
      </c>
      <c r="G14" s="3" t="s">
        <v>21</v>
      </c>
      <c r="H14" s="3">
        <v>1233189066</v>
      </c>
      <c r="I14" s="3" t="s">
        <v>51</v>
      </c>
      <c r="J14" s="3">
        <v>59822566</v>
      </c>
      <c r="K14" s="3" t="s">
        <v>23</v>
      </c>
      <c r="L14" s="6">
        <v>30000000</v>
      </c>
      <c r="M14" s="6">
        <f t="shared" si="0"/>
        <v>0</v>
      </c>
      <c r="N14" s="6"/>
    </row>
    <row r="15" spans="1:26" hidden="1" x14ac:dyDescent="0.25">
      <c r="A15" s="7" t="s">
        <v>52</v>
      </c>
      <c r="B15" s="8">
        <v>2000000</v>
      </c>
      <c r="C15" s="7" t="s">
        <v>14</v>
      </c>
      <c r="D15" s="9">
        <v>45398</v>
      </c>
      <c r="E15" s="9">
        <v>45520</v>
      </c>
      <c r="F15" s="7" t="s">
        <v>20</v>
      </c>
      <c r="G15" s="7" t="s">
        <v>21</v>
      </c>
      <c r="H15" s="7">
        <v>59830395</v>
      </c>
      <c r="I15" s="7" t="s">
        <v>53</v>
      </c>
      <c r="J15" s="7">
        <v>98390119</v>
      </c>
      <c r="K15" s="7" t="s">
        <v>33</v>
      </c>
      <c r="L15" s="8">
        <v>2000000</v>
      </c>
      <c r="M15" s="6">
        <f t="shared" si="0"/>
        <v>0</v>
      </c>
      <c r="N15" s="8">
        <v>8000000</v>
      </c>
      <c r="O15" s="7"/>
      <c r="P15" s="7"/>
      <c r="Q15" s="7"/>
      <c r="R15" s="7"/>
      <c r="S15" s="7"/>
      <c r="T15" s="7"/>
      <c r="U15" s="7"/>
      <c r="V15" s="7"/>
      <c r="W15" s="7"/>
      <c r="X15" s="7"/>
      <c r="Y15" s="7"/>
      <c r="Z15" s="7"/>
    </row>
    <row r="16" spans="1:26" hidden="1" x14ac:dyDescent="0.25">
      <c r="A16" s="3" t="s">
        <v>54</v>
      </c>
      <c r="B16" s="6">
        <v>8000000</v>
      </c>
      <c r="C16" s="3" t="s">
        <v>14</v>
      </c>
      <c r="D16" s="4">
        <v>45398</v>
      </c>
      <c r="E16" s="4">
        <v>45520</v>
      </c>
      <c r="F16" s="3" t="s">
        <v>20</v>
      </c>
      <c r="G16" s="3" t="s">
        <v>21</v>
      </c>
      <c r="H16" s="3">
        <v>1085317833</v>
      </c>
      <c r="I16" s="3" t="s">
        <v>55</v>
      </c>
      <c r="J16" s="3">
        <v>98333941</v>
      </c>
      <c r="K16" s="3" t="s">
        <v>26</v>
      </c>
      <c r="L16" s="6">
        <v>8000000</v>
      </c>
      <c r="M16" s="6">
        <f t="shared" si="0"/>
        <v>0</v>
      </c>
      <c r="N16" s="6"/>
    </row>
    <row r="17" spans="1:14" hidden="1" x14ac:dyDescent="0.25">
      <c r="A17" s="3" t="s">
        <v>56</v>
      </c>
      <c r="B17" s="6">
        <v>8000000</v>
      </c>
      <c r="C17" s="3" t="s">
        <v>14</v>
      </c>
      <c r="D17" s="4">
        <v>45399</v>
      </c>
      <c r="E17" s="4">
        <v>45521</v>
      </c>
      <c r="F17" s="3" t="s">
        <v>20</v>
      </c>
      <c r="G17" s="3" t="s">
        <v>21</v>
      </c>
      <c r="H17" s="3">
        <v>13070330</v>
      </c>
      <c r="I17" s="3" t="s">
        <v>57</v>
      </c>
      <c r="J17" s="3">
        <v>36950699</v>
      </c>
      <c r="K17" s="3" t="s">
        <v>58</v>
      </c>
      <c r="L17" s="6">
        <v>8000000</v>
      </c>
      <c r="M17" s="6">
        <f t="shared" si="0"/>
        <v>0</v>
      </c>
      <c r="N17" s="6"/>
    </row>
    <row r="18" spans="1:14" hidden="1" x14ac:dyDescent="0.25">
      <c r="A18" s="3" t="s">
        <v>59</v>
      </c>
      <c r="B18" s="6">
        <v>19302400</v>
      </c>
      <c r="C18" s="3" t="s">
        <v>14</v>
      </c>
      <c r="D18" s="4">
        <v>45399</v>
      </c>
      <c r="E18" s="4">
        <v>45521</v>
      </c>
      <c r="F18" s="3" t="s">
        <v>31</v>
      </c>
      <c r="G18" s="3" t="s">
        <v>21</v>
      </c>
      <c r="H18" s="3">
        <v>1193385736</v>
      </c>
      <c r="I18" s="3" t="s">
        <v>60</v>
      </c>
      <c r="J18" s="3">
        <v>59822566</v>
      </c>
      <c r="K18" s="3" t="s">
        <v>23</v>
      </c>
      <c r="L18" s="6">
        <v>19302400</v>
      </c>
      <c r="M18" s="6">
        <f t="shared" si="0"/>
        <v>0</v>
      </c>
      <c r="N18" s="6"/>
    </row>
    <row r="19" spans="1:14" hidden="1" x14ac:dyDescent="0.25">
      <c r="A19" s="3" t="s">
        <v>61</v>
      </c>
      <c r="B19" s="6">
        <v>8000000</v>
      </c>
      <c r="C19" s="3" t="s">
        <v>14</v>
      </c>
      <c r="D19" s="4">
        <v>45399</v>
      </c>
      <c r="E19" s="4">
        <v>45521</v>
      </c>
      <c r="F19" s="3" t="s">
        <v>20</v>
      </c>
      <c r="G19" s="3" t="s">
        <v>21</v>
      </c>
      <c r="H19" s="3">
        <v>1085327701</v>
      </c>
      <c r="I19" s="3" t="s">
        <v>62</v>
      </c>
      <c r="J19" s="3">
        <v>36950699</v>
      </c>
      <c r="K19" s="3" t="s">
        <v>58</v>
      </c>
      <c r="L19" s="6">
        <v>8000000</v>
      </c>
      <c r="M19" s="6">
        <f t="shared" si="0"/>
        <v>0</v>
      </c>
      <c r="N19" s="6"/>
    </row>
    <row r="20" spans="1:14" hidden="1" x14ac:dyDescent="0.25">
      <c r="A20" s="3" t="s">
        <v>63</v>
      </c>
      <c r="B20" s="6">
        <v>8000000</v>
      </c>
      <c r="C20" s="3" t="s">
        <v>14</v>
      </c>
      <c r="D20" s="4">
        <v>45399</v>
      </c>
      <c r="E20" s="4">
        <v>45521</v>
      </c>
      <c r="F20" s="3" t="s">
        <v>20</v>
      </c>
      <c r="G20" s="3" t="s">
        <v>21</v>
      </c>
      <c r="H20" s="3">
        <v>59834953</v>
      </c>
      <c r="I20" s="3" t="s">
        <v>64</v>
      </c>
      <c r="J20" s="3">
        <v>98390119</v>
      </c>
      <c r="K20" s="3" t="s">
        <v>33</v>
      </c>
      <c r="L20" s="6">
        <v>8000000</v>
      </c>
      <c r="M20" s="6">
        <f t="shared" si="0"/>
        <v>0</v>
      </c>
      <c r="N20" s="6"/>
    </row>
    <row r="21" spans="1:14" ht="15.75" hidden="1" customHeight="1" x14ac:dyDescent="0.25">
      <c r="A21" s="3" t="s">
        <v>65</v>
      </c>
      <c r="B21" s="6">
        <v>19302400</v>
      </c>
      <c r="C21" s="3" t="s">
        <v>14</v>
      </c>
      <c r="D21" s="4">
        <v>45399</v>
      </c>
      <c r="E21" s="4">
        <v>45521</v>
      </c>
      <c r="F21" s="3" t="s">
        <v>66</v>
      </c>
      <c r="G21" s="3" t="s">
        <v>21</v>
      </c>
      <c r="H21" s="3">
        <v>1085291221</v>
      </c>
      <c r="I21" s="3" t="s">
        <v>67</v>
      </c>
      <c r="J21" s="3">
        <v>59822566</v>
      </c>
      <c r="K21" s="3" t="s">
        <v>23</v>
      </c>
      <c r="L21" s="6">
        <v>19302400</v>
      </c>
      <c r="M21" s="6">
        <f t="shared" si="0"/>
        <v>0</v>
      </c>
      <c r="N21" s="6"/>
    </row>
    <row r="22" spans="1:14" ht="15.75" hidden="1" customHeight="1" x14ac:dyDescent="0.25">
      <c r="A22" s="3" t="s">
        <v>68</v>
      </c>
      <c r="B22" s="6">
        <v>8000000</v>
      </c>
      <c r="C22" s="3" t="s">
        <v>14</v>
      </c>
      <c r="D22" s="4">
        <v>45399</v>
      </c>
      <c r="E22" s="4">
        <v>45521</v>
      </c>
      <c r="F22" s="3" t="s">
        <v>20</v>
      </c>
      <c r="G22" s="3" t="s">
        <v>21</v>
      </c>
      <c r="H22" s="3">
        <v>1085286725</v>
      </c>
      <c r="I22" s="3" t="s">
        <v>69</v>
      </c>
      <c r="J22" s="3">
        <v>59822566</v>
      </c>
      <c r="K22" s="3" t="s">
        <v>23</v>
      </c>
      <c r="L22" s="6">
        <v>8000000</v>
      </c>
      <c r="M22" s="6">
        <f t="shared" si="0"/>
        <v>0</v>
      </c>
      <c r="N22" s="6"/>
    </row>
    <row r="23" spans="1:14" ht="15.75" hidden="1" customHeight="1" x14ac:dyDescent="0.25">
      <c r="A23" s="3" t="s">
        <v>70</v>
      </c>
      <c r="B23" s="6">
        <v>19000000</v>
      </c>
      <c r="C23" s="3" t="s">
        <v>14</v>
      </c>
      <c r="D23" s="4">
        <v>45399</v>
      </c>
      <c r="E23" s="4">
        <v>45521</v>
      </c>
      <c r="F23" s="3" t="s">
        <v>71</v>
      </c>
      <c r="G23" s="3" t="s">
        <v>21</v>
      </c>
      <c r="H23" s="3">
        <v>1085325342</v>
      </c>
      <c r="I23" s="3" t="s">
        <v>72</v>
      </c>
      <c r="J23" s="3">
        <v>98390119</v>
      </c>
      <c r="K23" s="3" t="s">
        <v>33</v>
      </c>
      <c r="L23" s="6">
        <v>19000000</v>
      </c>
      <c r="M23" s="6">
        <f t="shared" si="0"/>
        <v>0</v>
      </c>
      <c r="N23" s="6"/>
    </row>
    <row r="24" spans="1:14" ht="15.75" hidden="1" customHeight="1" x14ac:dyDescent="0.25">
      <c r="A24" s="3" t="s">
        <v>73</v>
      </c>
      <c r="B24" s="6">
        <v>24000000</v>
      </c>
      <c r="C24" s="3" t="s">
        <v>14</v>
      </c>
      <c r="D24" s="4">
        <v>45399</v>
      </c>
      <c r="E24" s="4">
        <v>45521</v>
      </c>
      <c r="F24" s="3" t="s">
        <v>74</v>
      </c>
      <c r="G24" s="3" t="s">
        <v>21</v>
      </c>
      <c r="H24" s="3">
        <v>97470681</v>
      </c>
      <c r="I24" s="3" t="s">
        <v>75</v>
      </c>
      <c r="J24" s="3">
        <v>59822566</v>
      </c>
      <c r="K24" s="3" t="s">
        <v>23</v>
      </c>
      <c r="L24" s="6">
        <v>24000000</v>
      </c>
      <c r="M24" s="6">
        <f t="shared" si="0"/>
        <v>0</v>
      </c>
      <c r="N24" s="6"/>
    </row>
    <row r="25" spans="1:14" ht="15.75" hidden="1" customHeight="1" x14ac:dyDescent="0.25">
      <c r="A25" s="3" t="s">
        <v>76</v>
      </c>
      <c r="B25" s="6">
        <v>8000000</v>
      </c>
      <c r="C25" s="3" t="s">
        <v>14</v>
      </c>
      <c r="D25" s="4">
        <v>45399</v>
      </c>
      <c r="E25" s="4">
        <v>45521</v>
      </c>
      <c r="F25" s="3" t="s">
        <v>20</v>
      </c>
      <c r="G25" s="3" t="s">
        <v>21</v>
      </c>
      <c r="H25" s="3">
        <v>27087122</v>
      </c>
      <c r="I25" s="3" t="s">
        <v>77</v>
      </c>
      <c r="J25" s="3">
        <v>98333941</v>
      </c>
      <c r="K25" s="3" t="s">
        <v>26</v>
      </c>
      <c r="L25" s="6">
        <v>8000000</v>
      </c>
      <c r="M25" s="6">
        <f t="shared" si="0"/>
        <v>0</v>
      </c>
      <c r="N25" s="6"/>
    </row>
    <row r="26" spans="1:14" ht="15.75" hidden="1" customHeight="1" x14ac:dyDescent="0.25">
      <c r="A26" s="10" t="s">
        <v>78</v>
      </c>
      <c r="B26" s="11">
        <v>106684483</v>
      </c>
      <c r="C26" s="10" t="s">
        <v>14</v>
      </c>
      <c r="D26" s="12">
        <v>45756</v>
      </c>
      <c r="E26" s="12">
        <v>45808</v>
      </c>
      <c r="F26" s="10" t="s">
        <v>79</v>
      </c>
      <c r="G26" s="10" t="s">
        <v>16</v>
      </c>
      <c r="H26" s="10">
        <v>900994364</v>
      </c>
      <c r="I26" s="10" t="s">
        <v>80</v>
      </c>
      <c r="J26" s="10">
        <v>13016581</v>
      </c>
      <c r="K26" s="10" t="s">
        <v>81</v>
      </c>
      <c r="L26" s="11">
        <v>0</v>
      </c>
      <c r="M26" s="6">
        <f t="shared" si="0"/>
        <v>106684483</v>
      </c>
      <c r="N26" s="6"/>
    </row>
    <row r="27" spans="1:14" ht="15.75" hidden="1" customHeight="1" x14ac:dyDescent="0.25">
      <c r="A27" s="3" t="s">
        <v>82</v>
      </c>
      <c r="B27" s="6">
        <v>19302400</v>
      </c>
      <c r="C27" s="3" t="s">
        <v>14</v>
      </c>
      <c r="D27" s="4">
        <v>45399</v>
      </c>
      <c r="E27" s="4">
        <v>45521</v>
      </c>
      <c r="F27" s="3" t="s">
        <v>31</v>
      </c>
      <c r="G27" s="3" t="s">
        <v>21</v>
      </c>
      <c r="H27" s="3">
        <v>37082349</v>
      </c>
      <c r="I27" s="3" t="s">
        <v>83</v>
      </c>
      <c r="J27" s="3">
        <v>59822566</v>
      </c>
      <c r="K27" s="3" t="s">
        <v>23</v>
      </c>
      <c r="L27" s="6">
        <v>19302400</v>
      </c>
      <c r="M27" s="6">
        <f t="shared" si="0"/>
        <v>0</v>
      </c>
      <c r="N27" s="6"/>
    </row>
    <row r="28" spans="1:14" ht="15.75" hidden="1" customHeight="1" x14ac:dyDescent="0.25">
      <c r="A28" s="3" t="s">
        <v>84</v>
      </c>
      <c r="B28" s="6">
        <v>8000000</v>
      </c>
      <c r="C28" s="3" t="s">
        <v>14</v>
      </c>
      <c r="D28" s="4">
        <v>45399</v>
      </c>
      <c r="E28" s="4">
        <v>45521</v>
      </c>
      <c r="F28" s="3" t="s">
        <v>20</v>
      </c>
      <c r="G28" s="3" t="s">
        <v>21</v>
      </c>
      <c r="H28" s="3">
        <v>1085288636</v>
      </c>
      <c r="I28" s="3" t="s">
        <v>85</v>
      </c>
      <c r="J28" s="3">
        <v>59822566</v>
      </c>
      <c r="K28" s="3" t="s">
        <v>23</v>
      </c>
      <c r="L28" s="6">
        <v>8000000</v>
      </c>
      <c r="M28" s="6">
        <f t="shared" si="0"/>
        <v>0</v>
      </c>
      <c r="N28" s="6"/>
    </row>
    <row r="29" spans="1:14" ht="15.75" hidden="1" customHeight="1" x14ac:dyDescent="0.25">
      <c r="A29" s="3" t="s">
        <v>86</v>
      </c>
      <c r="B29" s="6">
        <v>8000000</v>
      </c>
      <c r="C29" s="3" t="s">
        <v>14</v>
      </c>
      <c r="D29" s="4">
        <v>45399</v>
      </c>
      <c r="E29" s="4">
        <v>45521</v>
      </c>
      <c r="F29" s="3" t="s">
        <v>20</v>
      </c>
      <c r="G29" s="3" t="s">
        <v>21</v>
      </c>
      <c r="H29" s="3">
        <v>1004410201</v>
      </c>
      <c r="I29" s="3" t="s">
        <v>87</v>
      </c>
      <c r="J29" s="3">
        <v>36950699</v>
      </c>
      <c r="K29" s="3" t="s">
        <v>58</v>
      </c>
      <c r="L29" s="6">
        <v>8000000</v>
      </c>
      <c r="M29" s="6">
        <f t="shared" si="0"/>
        <v>0</v>
      </c>
      <c r="N29" s="6"/>
    </row>
    <row r="30" spans="1:14" ht="15.75" hidden="1" customHeight="1" x14ac:dyDescent="0.25">
      <c r="A30" s="3" t="s">
        <v>88</v>
      </c>
      <c r="B30" s="6">
        <v>8000000</v>
      </c>
      <c r="C30" s="3" t="s">
        <v>14</v>
      </c>
      <c r="D30" s="4">
        <v>45399</v>
      </c>
      <c r="E30" s="4">
        <v>45521</v>
      </c>
      <c r="F30" s="3" t="s">
        <v>20</v>
      </c>
      <c r="G30" s="3" t="s">
        <v>21</v>
      </c>
      <c r="H30" s="3">
        <v>1004410201</v>
      </c>
      <c r="I30" s="3" t="s">
        <v>87</v>
      </c>
      <c r="J30" s="3">
        <v>59822566</v>
      </c>
      <c r="K30" s="3" t="s">
        <v>23</v>
      </c>
      <c r="L30" s="6">
        <v>8000000</v>
      </c>
      <c r="M30" s="6">
        <f t="shared" si="0"/>
        <v>0</v>
      </c>
      <c r="N30" s="6"/>
    </row>
    <row r="31" spans="1:14" ht="15.75" hidden="1" customHeight="1" x14ac:dyDescent="0.25">
      <c r="A31" s="3" t="s">
        <v>89</v>
      </c>
      <c r="B31" s="6">
        <v>8000000</v>
      </c>
      <c r="C31" s="3" t="s">
        <v>14</v>
      </c>
      <c r="D31" s="4">
        <v>45399</v>
      </c>
      <c r="E31" s="4">
        <v>45521</v>
      </c>
      <c r="F31" s="3" t="s">
        <v>90</v>
      </c>
      <c r="G31" s="3" t="s">
        <v>21</v>
      </c>
      <c r="H31" s="3">
        <v>1085318688</v>
      </c>
      <c r="I31" s="3" t="s">
        <v>91</v>
      </c>
      <c r="J31" s="3">
        <v>98333941</v>
      </c>
      <c r="K31" s="3" t="s">
        <v>26</v>
      </c>
      <c r="L31" s="6">
        <v>8000000</v>
      </c>
      <c r="M31" s="6">
        <f t="shared" si="0"/>
        <v>0</v>
      </c>
      <c r="N31" s="6"/>
    </row>
    <row r="32" spans="1:14" ht="15.75" hidden="1" customHeight="1" x14ac:dyDescent="0.25">
      <c r="A32" s="3" t="s">
        <v>92</v>
      </c>
      <c r="B32" s="6">
        <v>30000000</v>
      </c>
      <c r="C32" s="3" t="s">
        <v>14</v>
      </c>
      <c r="D32" s="4">
        <v>45400</v>
      </c>
      <c r="E32" s="4">
        <v>45522</v>
      </c>
      <c r="F32" s="3" t="s">
        <v>28</v>
      </c>
      <c r="G32" s="3" t="s">
        <v>21</v>
      </c>
      <c r="H32" s="3">
        <v>1085329230</v>
      </c>
      <c r="I32" s="3" t="s">
        <v>93</v>
      </c>
      <c r="J32" s="3">
        <v>36950699</v>
      </c>
      <c r="K32" s="3" t="s">
        <v>58</v>
      </c>
      <c r="L32" s="6">
        <v>30000000</v>
      </c>
      <c r="M32" s="6">
        <f t="shared" si="0"/>
        <v>0</v>
      </c>
      <c r="N32" s="6"/>
    </row>
    <row r="33" spans="1:14" ht="15.75" hidden="1" customHeight="1" x14ac:dyDescent="0.25">
      <c r="A33" s="3" t="s">
        <v>94</v>
      </c>
      <c r="B33" s="6">
        <v>8000000</v>
      </c>
      <c r="C33" s="3" t="s">
        <v>14</v>
      </c>
      <c r="D33" s="4">
        <v>45399</v>
      </c>
      <c r="E33" s="4">
        <v>45521</v>
      </c>
      <c r="F33" s="3" t="s">
        <v>90</v>
      </c>
      <c r="G33" s="3" t="s">
        <v>21</v>
      </c>
      <c r="H33" s="3">
        <v>37084285</v>
      </c>
      <c r="I33" s="3" t="s">
        <v>95</v>
      </c>
      <c r="J33" s="3">
        <v>36950699</v>
      </c>
      <c r="K33" s="3" t="s">
        <v>58</v>
      </c>
      <c r="L33" s="6">
        <v>8000000</v>
      </c>
      <c r="M33" s="6">
        <f t="shared" si="0"/>
        <v>0</v>
      </c>
      <c r="N33" s="6"/>
    </row>
    <row r="34" spans="1:14" ht="15.75" hidden="1" customHeight="1" x14ac:dyDescent="0.25">
      <c r="A34" s="3" t="s">
        <v>96</v>
      </c>
      <c r="B34" s="6">
        <v>8000000</v>
      </c>
      <c r="C34" s="3" t="s">
        <v>14</v>
      </c>
      <c r="D34" s="4">
        <v>45401</v>
      </c>
      <c r="E34" s="4">
        <v>45523</v>
      </c>
      <c r="F34" s="3" t="s">
        <v>90</v>
      </c>
      <c r="G34" s="3" t="s">
        <v>21</v>
      </c>
      <c r="H34" s="3">
        <v>1007356378</v>
      </c>
      <c r="I34" s="3" t="s">
        <v>97</v>
      </c>
      <c r="J34" s="3">
        <v>59822566</v>
      </c>
      <c r="K34" s="3" t="s">
        <v>23</v>
      </c>
      <c r="L34" s="6">
        <v>8000000</v>
      </c>
      <c r="M34" s="6">
        <f t="shared" si="0"/>
        <v>0</v>
      </c>
      <c r="N34" s="6"/>
    </row>
    <row r="35" spans="1:14" ht="15.75" customHeight="1" x14ac:dyDescent="0.25">
      <c r="A35" s="10" t="s">
        <v>98</v>
      </c>
      <c r="B35" s="11">
        <v>257341657</v>
      </c>
      <c r="C35" s="10" t="s">
        <v>14</v>
      </c>
      <c r="D35" s="12">
        <v>45412</v>
      </c>
      <c r="E35" s="12">
        <v>45518</v>
      </c>
      <c r="F35" s="10" t="s">
        <v>99</v>
      </c>
      <c r="G35" s="10" t="s">
        <v>16</v>
      </c>
      <c r="H35" s="10">
        <v>900994364</v>
      </c>
      <c r="I35" s="10" t="s">
        <v>100</v>
      </c>
      <c r="J35" s="10">
        <v>76316961</v>
      </c>
      <c r="K35" s="10" t="s">
        <v>101</v>
      </c>
      <c r="L35" s="11">
        <v>193587004</v>
      </c>
      <c r="M35" s="6">
        <f t="shared" si="0"/>
        <v>63754653</v>
      </c>
      <c r="N35" s="6"/>
    </row>
    <row r="36" spans="1:14" ht="15.75" hidden="1" customHeight="1" x14ac:dyDescent="0.25">
      <c r="A36" s="3" t="s">
        <v>102</v>
      </c>
      <c r="B36" s="6">
        <v>30000000</v>
      </c>
      <c r="C36" s="3" t="s">
        <v>14</v>
      </c>
      <c r="D36" s="4">
        <v>45399</v>
      </c>
      <c r="E36" s="4">
        <v>45521</v>
      </c>
      <c r="F36" s="3" t="s">
        <v>28</v>
      </c>
      <c r="G36" s="3" t="s">
        <v>21</v>
      </c>
      <c r="H36" s="3">
        <v>1088599676</v>
      </c>
      <c r="I36" s="3" t="s">
        <v>103</v>
      </c>
      <c r="J36" s="3">
        <v>98333941</v>
      </c>
      <c r="K36" s="3" t="s">
        <v>26</v>
      </c>
      <c r="L36" s="6">
        <v>22500000</v>
      </c>
      <c r="M36" s="6">
        <f t="shared" si="0"/>
        <v>7500000</v>
      </c>
      <c r="N36" s="6"/>
    </row>
    <row r="37" spans="1:14" ht="15.75" hidden="1" customHeight="1" x14ac:dyDescent="0.25">
      <c r="A37" s="3" t="s">
        <v>104</v>
      </c>
      <c r="B37" s="6">
        <v>30000000</v>
      </c>
      <c r="C37" s="3" t="s">
        <v>14</v>
      </c>
      <c r="D37" s="4">
        <v>45406</v>
      </c>
      <c r="E37" s="4">
        <v>45497</v>
      </c>
      <c r="F37" s="3" t="s">
        <v>28</v>
      </c>
      <c r="G37" s="3" t="s">
        <v>21</v>
      </c>
      <c r="H37" s="3">
        <v>1089244511</v>
      </c>
      <c r="I37" s="3" t="s">
        <v>105</v>
      </c>
      <c r="J37" s="3">
        <v>98390119</v>
      </c>
      <c r="K37" s="3" t="s">
        <v>33</v>
      </c>
      <c r="L37" s="6">
        <v>22500000</v>
      </c>
      <c r="M37" s="6">
        <f t="shared" si="0"/>
        <v>7500000</v>
      </c>
      <c r="N37" s="6"/>
    </row>
    <row r="38" spans="1:14" ht="15.75" hidden="1" customHeight="1" x14ac:dyDescent="0.25">
      <c r="A38" s="3" t="s">
        <v>106</v>
      </c>
      <c r="B38" s="6">
        <v>30000000</v>
      </c>
      <c r="C38" s="3" t="s">
        <v>14</v>
      </c>
      <c r="D38" s="4">
        <v>45407</v>
      </c>
      <c r="E38" s="4">
        <v>45498</v>
      </c>
      <c r="F38" s="3" t="s">
        <v>28</v>
      </c>
      <c r="G38" s="3" t="s">
        <v>21</v>
      </c>
      <c r="H38" s="3">
        <v>1085304670</v>
      </c>
      <c r="I38" s="3" t="s">
        <v>107</v>
      </c>
      <c r="J38" s="3">
        <v>59822566</v>
      </c>
      <c r="K38" s="3" t="s">
        <v>23</v>
      </c>
      <c r="L38" s="6">
        <v>22500000</v>
      </c>
      <c r="M38" s="6">
        <f t="shared" si="0"/>
        <v>7500000</v>
      </c>
      <c r="N38" s="6"/>
    </row>
    <row r="39" spans="1:14" ht="15.75" hidden="1" customHeight="1" x14ac:dyDescent="0.25">
      <c r="A39" s="3" t="s">
        <v>108</v>
      </c>
      <c r="B39" s="6">
        <v>30000000</v>
      </c>
      <c r="C39" s="3" t="s">
        <v>14</v>
      </c>
      <c r="D39" s="4">
        <v>45407</v>
      </c>
      <c r="E39" s="4">
        <v>45498</v>
      </c>
      <c r="F39" s="3" t="s">
        <v>28</v>
      </c>
      <c r="G39" s="3" t="s">
        <v>21</v>
      </c>
      <c r="H39" s="3">
        <v>1193202097</v>
      </c>
      <c r="I39" s="3" t="s">
        <v>109</v>
      </c>
      <c r="J39" s="3">
        <v>36950699</v>
      </c>
      <c r="K39" s="3" t="s">
        <v>58</v>
      </c>
      <c r="L39" s="6">
        <v>22500000</v>
      </c>
      <c r="M39" s="6">
        <f t="shared" si="0"/>
        <v>7500000</v>
      </c>
      <c r="N39" s="6"/>
    </row>
    <row r="40" spans="1:14" ht="15.75" hidden="1" customHeight="1" x14ac:dyDescent="0.25">
      <c r="A40" s="3" t="s">
        <v>110</v>
      </c>
      <c r="B40" s="6">
        <v>30000000</v>
      </c>
      <c r="C40" s="3" t="s">
        <v>14</v>
      </c>
      <c r="D40" s="4">
        <v>45412</v>
      </c>
      <c r="E40" s="4">
        <v>45503</v>
      </c>
      <c r="F40" s="3" t="s">
        <v>111</v>
      </c>
      <c r="G40" s="3" t="s">
        <v>21</v>
      </c>
      <c r="H40" s="3">
        <v>1085335767</v>
      </c>
      <c r="I40" s="3" t="s">
        <v>112</v>
      </c>
      <c r="J40" s="3">
        <v>36950699</v>
      </c>
      <c r="K40" s="3" t="s">
        <v>58</v>
      </c>
      <c r="L40" s="6">
        <v>22500000</v>
      </c>
      <c r="M40" s="6">
        <f t="shared" si="0"/>
        <v>7500000</v>
      </c>
      <c r="N40" s="6"/>
    </row>
    <row r="41" spans="1:14" ht="15.75" hidden="1" customHeight="1" x14ac:dyDescent="0.25">
      <c r="A41" s="3" t="s">
        <v>113</v>
      </c>
      <c r="B41" s="6">
        <v>30000000</v>
      </c>
      <c r="C41" s="3" t="s">
        <v>14</v>
      </c>
      <c r="D41" s="4">
        <v>45412</v>
      </c>
      <c r="E41" s="4">
        <v>45503</v>
      </c>
      <c r="F41" s="3" t="s">
        <v>111</v>
      </c>
      <c r="G41" s="3" t="s">
        <v>21</v>
      </c>
      <c r="H41" s="3">
        <v>80765093</v>
      </c>
      <c r="I41" s="3" t="s">
        <v>114</v>
      </c>
      <c r="J41" s="3">
        <v>98390119</v>
      </c>
      <c r="K41" s="3" t="s">
        <v>33</v>
      </c>
      <c r="L41" s="6">
        <v>22500000</v>
      </c>
      <c r="M41" s="6">
        <f t="shared" si="0"/>
        <v>7500000</v>
      </c>
      <c r="N41" s="6"/>
    </row>
    <row r="42" spans="1:14" ht="15.75" hidden="1" customHeight="1" x14ac:dyDescent="0.25">
      <c r="A42" s="3" t="s">
        <v>115</v>
      </c>
      <c r="B42" s="6">
        <v>30000000</v>
      </c>
      <c r="C42" s="3" t="s">
        <v>14</v>
      </c>
      <c r="D42" s="4">
        <v>45419</v>
      </c>
      <c r="E42" s="4">
        <v>45511</v>
      </c>
      <c r="F42" s="3" t="s">
        <v>116</v>
      </c>
      <c r="G42" s="3" t="s">
        <v>21</v>
      </c>
      <c r="H42" s="3">
        <v>37087120</v>
      </c>
      <c r="I42" s="3" t="s">
        <v>117</v>
      </c>
      <c r="J42" s="3">
        <v>98333941</v>
      </c>
      <c r="K42" s="3" t="s">
        <v>26</v>
      </c>
      <c r="L42" s="6">
        <v>22500000</v>
      </c>
      <c r="M42" s="6">
        <f t="shared" si="0"/>
        <v>7500000</v>
      </c>
      <c r="N42" s="6"/>
    </row>
    <row r="43" spans="1:14" ht="15.75" hidden="1" customHeight="1" x14ac:dyDescent="0.25">
      <c r="A43" s="3" t="s">
        <v>118</v>
      </c>
      <c r="B43" s="6">
        <v>30000000</v>
      </c>
      <c r="C43" s="3" t="s">
        <v>14</v>
      </c>
      <c r="D43" s="4">
        <v>45433</v>
      </c>
      <c r="E43" s="4">
        <v>45525</v>
      </c>
      <c r="F43" s="3" t="s">
        <v>116</v>
      </c>
      <c r="G43" s="3" t="s">
        <v>21</v>
      </c>
      <c r="H43" s="3">
        <v>7603662</v>
      </c>
      <c r="I43" s="3" t="s">
        <v>119</v>
      </c>
      <c r="J43" s="3">
        <v>98390119</v>
      </c>
      <c r="K43" s="3" t="s">
        <v>33</v>
      </c>
      <c r="L43" s="6">
        <v>22500000</v>
      </c>
      <c r="M43" s="6">
        <f t="shared" si="0"/>
        <v>7500000</v>
      </c>
      <c r="N43" s="6"/>
    </row>
    <row r="44" spans="1:14" ht="15.75" hidden="1" customHeight="1" x14ac:dyDescent="0.25">
      <c r="A44" s="3" t="s">
        <v>120</v>
      </c>
      <c r="B44" s="6">
        <v>30000000</v>
      </c>
      <c r="C44" s="3" t="s">
        <v>14</v>
      </c>
      <c r="D44" s="4">
        <v>45436</v>
      </c>
      <c r="E44" s="4">
        <v>45528</v>
      </c>
      <c r="F44" s="3" t="s">
        <v>116</v>
      </c>
      <c r="G44" s="3" t="s">
        <v>21</v>
      </c>
      <c r="H44" s="3">
        <v>1085321192</v>
      </c>
      <c r="I44" s="3" t="s">
        <v>121</v>
      </c>
      <c r="J44" s="3">
        <v>59822566</v>
      </c>
      <c r="K44" s="3" t="s">
        <v>23</v>
      </c>
      <c r="L44" s="6">
        <v>22500000</v>
      </c>
      <c r="M44" s="6">
        <f t="shared" si="0"/>
        <v>7500000</v>
      </c>
      <c r="N44" s="6"/>
    </row>
    <row r="45" spans="1:14" ht="15.75" hidden="1" customHeight="1" x14ac:dyDescent="0.25">
      <c r="A45" s="3" t="s">
        <v>122</v>
      </c>
      <c r="B45" s="6">
        <v>30000000</v>
      </c>
      <c r="C45" s="3" t="s">
        <v>14</v>
      </c>
      <c r="D45" s="4">
        <v>45436</v>
      </c>
      <c r="E45" s="4">
        <v>45528</v>
      </c>
      <c r="F45" s="3" t="s">
        <v>123</v>
      </c>
      <c r="G45" s="3" t="s">
        <v>21</v>
      </c>
      <c r="H45" s="3">
        <v>1006946167</v>
      </c>
      <c r="I45" s="3" t="s">
        <v>124</v>
      </c>
      <c r="J45" s="3">
        <v>98333941</v>
      </c>
      <c r="K45" s="3" t="s">
        <v>26</v>
      </c>
      <c r="L45" s="6">
        <v>22500000</v>
      </c>
      <c r="M45" s="6">
        <f t="shared" si="0"/>
        <v>7500000</v>
      </c>
      <c r="N45" s="6"/>
    </row>
    <row r="46" spans="1:14" ht="15.75" hidden="1" customHeight="1" x14ac:dyDescent="0.25">
      <c r="A46" s="3" t="s">
        <v>125</v>
      </c>
      <c r="B46" s="6">
        <v>24000000</v>
      </c>
      <c r="C46" s="3" t="s">
        <v>14</v>
      </c>
      <c r="D46" s="4">
        <v>45409</v>
      </c>
      <c r="E46" s="4">
        <v>45500</v>
      </c>
      <c r="F46" s="3" t="s">
        <v>126</v>
      </c>
      <c r="G46" s="3" t="s">
        <v>21</v>
      </c>
      <c r="H46" s="3">
        <v>37013610</v>
      </c>
      <c r="I46" s="3" t="s">
        <v>127</v>
      </c>
      <c r="J46" s="3">
        <v>36950699</v>
      </c>
      <c r="K46" s="3" t="s">
        <v>58</v>
      </c>
      <c r="L46" s="6">
        <v>18000000</v>
      </c>
      <c r="M46" s="6">
        <f t="shared" si="0"/>
        <v>6000000</v>
      </c>
      <c r="N46" s="6"/>
    </row>
    <row r="47" spans="1:14" ht="15.75" hidden="1" customHeight="1" x14ac:dyDescent="0.25">
      <c r="A47" s="3" t="s">
        <v>128</v>
      </c>
      <c r="B47" s="6">
        <v>24000000</v>
      </c>
      <c r="C47" s="3" t="s">
        <v>14</v>
      </c>
      <c r="D47" s="4">
        <v>45404</v>
      </c>
      <c r="E47" s="4">
        <v>45495</v>
      </c>
      <c r="F47" s="3" t="s">
        <v>126</v>
      </c>
      <c r="G47" s="3" t="s">
        <v>21</v>
      </c>
      <c r="H47" s="3">
        <v>36951002</v>
      </c>
      <c r="I47" s="3" t="s">
        <v>129</v>
      </c>
      <c r="J47" s="3">
        <v>98333941</v>
      </c>
      <c r="K47" s="3" t="s">
        <v>26</v>
      </c>
      <c r="L47" s="6">
        <v>18000000</v>
      </c>
      <c r="M47" s="6">
        <f t="shared" si="0"/>
        <v>6000000</v>
      </c>
      <c r="N47" s="6"/>
    </row>
    <row r="48" spans="1:14" ht="15.75" hidden="1" customHeight="1" x14ac:dyDescent="0.25">
      <c r="A48" s="3" t="s">
        <v>130</v>
      </c>
      <c r="B48" s="6">
        <v>24000000</v>
      </c>
      <c r="C48" s="3" t="s">
        <v>14</v>
      </c>
      <c r="D48" s="4">
        <v>45406</v>
      </c>
      <c r="E48" s="4">
        <v>45497</v>
      </c>
      <c r="F48" s="3" t="s">
        <v>126</v>
      </c>
      <c r="G48" s="3" t="s">
        <v>21</v>
      </c>
      <c r="H48" s="3">
        <v>1089242085</v>
      </c>
      <c r="I48" s="3" t="s">
        <v>131</v>
      </c>
      <c r="J48" s="3">
        <v>98390119</v>
      </c>
      <c r="K48" s="3" t="s">
        <v>33</v>
      </c>
      <c r="L48" s="6">
        <v>18000000</v>
      </c>
      <c r="M48" s="6">
        <f t="shared" si="0"/>
        <v>6000000</v>
      </c>
      <c r="N48" s="6"/>
    </row>
    <row r="49" spans="1:14" ht="15.75" hidden="1" customHeight="1" x14ac:dyDescent="0.25">
      <c r="A49" s="3" t="s">
        <v>132</v>
      </c>
      <c r="B49" s="6">
        <v>24000000</v>
      </c>
      <c r="C49" s="3" t="s">
        <v>14</v>
      </c>
      <c r="D49" s="4">
        <v>45406</v>
      </c>
      <c r="E49" s="4">
        <v>45497</v>
      </c>
      <c r="F49" s="3" t="s">
        <v>133</v>
      </c>
      <c r="G49" s="3" t="s">
        <v>21</v>
      </c>
      <c r="H49" s="3">
        <v>1085254626</v>
      </c>
      <c r="I49" s="3" t="s">
        <v>134</v>
      </c>
      <c r="J49" s="3">
        <v>36950699</v>
      </c>
      <c r="K49" s="3" t="s">
        <v>58</v>
      </c>
      <c r="L49" s="6">
        <v>18000000</v>
      </c>
      <c r="M49" s="6">
        <f t="shared" si="0"/>
        <v>6000000</v>
      </c>
      <c r="N49" s="6"/>
    </row>
    <row r="50" spans="1:14" ht="15.75" hidden="1" customHeight="1" x14ac:dyDescent="0.25">
      <c r="A50" s="3" t="s">
        <v>135</v>
      </c>
      <c r="B50" s="6">
        <v>24000000</v>
      </c>
      <c r="C50" s="3" t="s">
        <v>14</v>
      </c>
      <c r="D50" s="4">
        <v>45407</v>
      </c>
      <c r="E50" s="4">
        <v>45498</v>
      </c>
      <c r="F50" s="3" t="s">
        <v>126</v>
      </c>
      <c r="G50" s="3" t="s">
        <v>21</v>
      </c>
      <c r="H50" s="3">
        <v>59820414</v>
      </c>
      <c r="I50" s="3" t="s">
        <v>136</v>
      </c>
      <c r="J50" s="3">
        <v>59822566</v>
      </c>
      <c r="K50" s="3" t="s">
        <v>23</v>
      </c>
      <c r="L50" s="6">
        <v>18000000</v>
      </c>
      <c r="M50" s="6">
        <f t="shared" si="0"/>
        <v>6000000</v>
      </c>
      <c r="N50" s="6"/>
    </row>
    <row r="51" spans="1:14" ht="15.75" hidden="1" customHeight="1" x14ac:dyDescent="0.25">
      <c r="A51" s="3" t="s">
        <v>137</v>
      </c>
      <c r="B51" s="6">
        <v>24000000</v>
      </c>
      <c r="C51" s="3" t="s">
        <v>14</v>
      </c>
      <c r="D51" s="4">
        <v>45411</v>
      </c>
      <c r="E51" s="4">
        <v>45502</v>
      </c>
      <c r="F51" s="3" t="s">
        <v>126</v>
      </c>
      <c r="G51" s="3" t="s">
        <v>21</v>
      </c>
      <c r="H51" s="3">
        <v>59837608</v>
      </c>
      <c r="I51" s="3" t="s">
        <v>138</v>
      </c>
      <c r="J51" s="3">
        <v>98390119</v>
      </c>
      <c r="K51" s="3" t="s">
        <v>33</v>
      </c>
      <c r="L51" s="6">
        <v>18000000</v>
      </c>
      <c r="M51" s="6">
        <f t="shared" si="0"/>
        <v>6000000</v>
      </c>
      <c r="N51" s="6"/>
    </row>
    <row r="52" spans="1:14" ht="15.75" hidden="1" customHeight="1" x14ac:dyDescent="0.25">
      <c r="A52" s="3" t="s">
        <v>139</v>
      </c>
      <c r="B52" s="6">
        <v>24000000</v>
      </c>
      <c r="C52" s="3" t="s">
        <v>14</v>
      </c>
      <c r="D52" s="4">
        <v>45418</v>
      </c>
      <c r="E52" s="4">
        <v>45510</v>
      </c>
      <c r="F52" s="3" t="s">
        <v>140</v>
      </c>
      <c r="G52" s="3" t="s">
        <v>21</v>
      </c>
      <c r="H52" s="3">
        <v>1085275879</v>
      </c>
      <c r="I52" s="3" t="s">
        <v>141</v>
      </c>
      <c r="J52" s="3">
        <v>36950699</v>
      </c>
      <c r="K52" s="3" t="s">
        <v>58</v>
      </c>
      <c r="L52" s="6">
        <v>18000000</v>
      </c>
      <c r="M52" s="6">
        <f t="shared" si="0"/>
        <v>6000000</v>
      </c>
      <c r="N52" s="6"/>
    </row>
    <row r="53" spans="1:14" ht="15.75" hidden="1" customHeight="1" x14ac:dyDescent="0.25">
      <c r="A53" s="3" t="s">
        <v>142</v>
      </c>
      <c r="B53" s="6">
        <v>12000000</v>
      </c>
      <c r="C53" s="3" t="s">
        <v>14</v>
      </c>
      <c r="D53" s="4">
        <v>45421</v>
      </c>
      <c r="E53" s="4">
        <v>45513</v>
      </c>
      <c r="F53" s="3" t="s">
        <v>90</v>
      </c>
      <c r="G53" s="3" t="s">
        <v>21</v>
      </c>
      <c r="H53" s="3">
        <v>1010085543</v>
      </c>
      <c r="I53" s="3" t="s">
        <v>143</v>
      </c>
      <c r="J53" s="3">
        <v>98390119</v>
      </c>
      <c r="K53" s="3" t="s">
        <v>33</v>
      </c>
      <c r="L53" s="6">
        <v>6000000</v>
      </c>
      <c r="M53" s="6">
        <f t="shared" si="0"/>
        <v>6000000</v>
      </c>
      <c r="N53" s="6"/>
    </row>
    <row r="54" spans="1:14" ht="15.75" hidden="1" customHeight="1" x14ac:dyDescent="0.25">
      <c r="A54" s="3" t="s">
        <v>144</v>
      </c>
      <c r="B54" s="6">
        <v>24000000</v>
      </c>
      <c r="C54" s="3" t="s">
        <v>14</v>
      </c>
      <c r="D54" s="4">
        <v>45435</v>
      </c>
      <c r="E54" s="4">
        <v>45527</v>
      </c>
      <c r="F54" s="3" t="s">
        <v>126</v>
      </c>
      <c r="G54" s="3" t="s">
        <v>21</v>
      </c>
      <c r="H54" s="3">
        <v>27097289</v>
      </c>
      <c r="I54" s="3" t="s">
        <v>145</v>
      </c>
      <c r="J54" s="3">
        <v>98390119</v>
      </c>
      <c r="K54" s="3" t="s">
        <v>33</v>
      </c>
      <c r="L54" s="6">
        <v>18000000</v>
      </c>
      <c r="M54" s="6">
        <f t="shared" si="0"/>
        <v>6000000</v>
      </c>
      <c r="N54" s="6"/>
    </row>
    <row r="55" spans="1:14" ht="15.75" hidden="1" customHeight="1" x14ac:dyDescent="0.25">
      <c r="A55" s="3" t="s">
        <v>146</v>
      </c>
      <c r="B55" s="6">
        <v>24000000</v>
      </c>
      <c r="C55" s="3" t="s">
        <v>14</v>
      </c>
      <c r="D55" s="4">
        <v>45436</v>
      </c>
      <c r="E55" s="4">
        <v>45528</v>
      </c>
      <c r="F55" s="3" t="s">
        <v>140</v>
      </c>
      <c r="G55" s="3" t="s">
        <v>21</v>
      </c>
      <c r="H55" s="3">
        <v>1004213964</v>
      </c>
      <c r="I55" s="3" t="s">
        <v>147</v>
      </c>
      <c r="J55" s="3">
        <v>36950699</v>
      </c>
      <c r="K55" s="3" t="s">
        <v>58</v>
      </c>
      <c r="L55" s="6">
        <v>18000000</v>
      </c>
      <c r="M55" s="6">
        <f t="shared" si="0"/>
        <v>6000000</v>
      </c>
      <c r="N55" s="6"/>
    </row>
    <row r="56" spans="1:14" ht="15.75" hidden="1" customHeight="1" x14ac:dyDescent="0.25">
      <c r="A56" s="3" t="s">
        <v>148</v>
      </c>
      <c r="B56" s="6">
        <v>19302400</v>
      </c>
      <c r="C56" s="3" t="s">
        <v>14</v>
      </c>
      <c r="D56" s="4">
        <v>45404</v>
      </c>
      <c r="E56" s="4">
        <v>45495</v>
      </c>
      <c r="F56" s="3" t="s">
        <v>149</v>
      </c>
      <c r="G56" s="3" t="s">
        <v>21</v>
      </c>
      <c r="H56" s="3">
        <v>87062845</v>
      </c>
      <c r="I56" s="3" t="s">
        <v>150</v>
      </c>
      <c r="J56" s="3">
        <v>36950699</v>
      </c>
      <c r="K56" s="3" t="s">
        <v>58</v>
      </c>
      <c r="L56" s="6">
        <v>14476800</v>
      </c>
      <c r="M56" s="6">
        <f t="shared" si="0"/>
        <v>4825600</v>
      </c>
      <c r="N56" s="6"/>
    </row>
    <row r="57" spans="1:14" ht="15.75" hidden="1" customHeight="1" x14ac:dyDescent="0.25">
      <c r="A57" s="3" t="s">
        <v>151</v>
      </c>
      <c r="B57" s="6">
        <v>19302400</v>
      </c>
      <c r="C57" s="3" t="s">
        <v>14</v>
      </c>
      <c r="D57" s="4">
        <v>45406</v>
      </c>
      <c r="E57" s="4">
        <v>45497</v>
      </c>
      <c r="F57" s="3" t="s">
        <v>149</v>
      </c>
      <c r="G57" s="3" t="s">
        <v>21</v>
      </c>
      <c r="H57" s="3">
        <v>30733517</v>
      </c>
      <c r="I57" s="3" t="s">
        <v>152</v>
      </c>
      <c r="J57" s="3">
        <v>59822566</v>
      </c>
      <c r="K57" s="3" t="s">
        <v>23</v>
      </c>
      <c r="L57" s="6">
        <v>14476800</v>
      </c>
      <c r="M57" s="6">
        <f t="shared" si="0"/>
        <v>4825600</v>
      </c>
      <c r="N57" s="6"/>
    </row>
    <row r="58" spans="1:14" ht="15.75" hidden="1" customHeight="1" x14ac:dyDescent="0.25">
      <c r="A58" s="3" t="s">
        <v>153</v>
      </c>
      <c r="B58" s="6">
        <v>19302400</v>
      </c>
      <c r="C58" s="3" t="s">
        <v>14</v>
      </c>
      <c r="D58" s="4">
        <v>45406</v>
      </c>
      <c r="E58" s="4">
        <v>45497</v>
      </c>
      <c r="F58" s="3" t="s">
        <v>149</v>
      </c>
      <c r="G58" s="3" t="s">
        <v>21</v>
      </c>
      <c r="H58" s="3">
        <v>1085337969</v>
      </c>
      <c r="I58" s="3" t="s">
        <v>154</v>
      </c>
      <c r="J58" s="3">
        <v>98333941</v>
      </c>
      <c r="K58" s="3" t="s">
        <v>26</v>
      </c>
      <c r="L58" s="6">
        <v>14476800</v>
      </c>
      <c r="M58" s="6">
        <f t="shared" si="0"/>
        <v>4825600</v>
      </c>
      <c r="N58" s="6"/>
    </row>
    <row r="59" spans="1:14" ht="15.75" hidden="1" customHeight="1" x14ac:dyDescent="0.25">
      <c r="A59" s="3" t="s">
        <v>155</v>
      </c>
      <c r="B59" s="6">
        <v>19302400</v>
      </c>
      <c r="C59" s="3" t="s">
        <v>14</v>
      </c>
      <c r="D59" s="4">
        <v>45407</v>
      </c>
      <c r="E59" s="4">
        <v>45497</v>
      </c>
      <c r="F59" s="3" t="s">
        <v>156</v>
      </c>
      <c r="G59" s="3" t="s">
        <v>21</v>
      </c>
      <c r="H59" s="3">
        <v>1085332406</v>
      </c>
      <c r="I59" s="3" t="s">
        <v>157</v>
      </c>
      <c r="J59" s="3">
        <v>59822566</v>
      </c>
      <c r="K59" s="3" t="s">
        <v>23</v>
      </c>
      <c r="L59" s="6">
        <v>14476800</v>
      </c>
      <c r="M59" s="6">
        <f t="shared" si="0"/>
        <v>4825600</v>
      </c>
      <c r="N59" s="6"/>
    </row>
    <row r="60" spans="1:14" ht="15.75" hidden="1" customHeight="1" x14ac:dyDescent="0.25">
      <c r="A60" s="3" t="s">
        <v>158</v>
      </c>
      <c r="B60" s="6">
        <v>19302400</v>
      </c>
      <c r="C60" s="3" t="s">
        <v>14</v>
      </c>
      <c r="D60" s="4">
        <v>45407</v>
      </c>
      <c r="E60" s="4">
        <v>45498</v>
      </c>
      <c r="F60" s="3" t="s">
        <v>149</v>
      </c>
      <c r="G60" s="3" t="s">
        <v>21</v>
      </c>
      <c r="H60" s="3">
        <v>27087851</v>
      </c>
      <c r="I60" s="3" t="s">
        <v>159</v>
      </c>
      <c r="J60" s="3">
        <v>27087851</v>
      </c>
      <c r="K60" s="3" t="s">
        <v>159</v>
      </c>
      <c r="L60" s="6">
        <v>14476800</v>
      </c>
      <c r="M60" s="6">
        <f t="shared" si="0"/>
        <v>4825600</v>
      </c>
      <c r="N60" s="6"/>
    </row>
    <row r="61" spans="1:14" ht="15.75" hidden="1" customHeight="1" x14ac:dyDescent="0.25">
      <c r="A61" s="3" t="s">
        <v>160</v>
      </c>
      <c r="B61" s="6">
        <v>19302400</v>
      </c>
      <c r="C61" s="3" t="s">
        <v>14</v>
      </c>
      <c r="D61" s="4">
        <v>45408</v>
      </c>
      <c r="E61" s="4">
        <v>45499</v>
      </c>
      <c r="F61" s="3" t="s">
        <v>149</v>
      </c>
      <c r="G61" s="3" t="s">
        <v>21</v>
      </c>
      <c r="H61" s="3">
        <v>1085321943</v>
      </c>
      <c r="I61" s="3" t="s">
        <v>161</v>
      </c>
      <c r="J61" s="3">
        <v>98333941</v>
      </c>
      <c r="K61" s="3" t="s">
        <v>26</v>
      </c>
      <c r="L61" s="6">
        <v>14476800</v>
      </c>
      <c r="M61" s="6">
        <f t="shared" si="0"/>
        <v>4825600</v>
      </c>
      <c r="N61" s="6"/>
    </row>
    <row r="62" spans="1:14" ht="15.75" hidden="1" customHeight="1" x14ac:dyDescent="0.25">
      <c r="A62" s="3" t="s">
        <v>162</v>
      </c>
      <c r="B62" s="6">
        <v>19302400</v>
      </c>
      <c r="C62" s="3" t="s">
        <v>14</v>
      </c>
      <c r="D62" s="4">
        <v>45412</v>
      </c>
      <c r="E62" s="4">
        <v>45503</v>
      </c>
      <c r="F62" s="3" t="s">
        <v>31</v>
      </c>
      <c r="G62" s="3" t="s">
        <v>21</v>
      </c>
      <c r="H62" s="3">
        <v>1085267184</v>
      </c>
      <c r="I62" s="3" t="s">
        <v>163</v>
      </c>
      <c r="J62" s="3">
        <v>36950699</v>
      </c>
      <c r="K62" s="3" t="s">
        <v>58</v>
      </c>
      <c r="L62" s="6">
        <v>14476800</v>
      </c>
      <c r="M62" s="6">
        <f t="shared" si="0"/>
        <v>4825600</v>
      </c>
      <c r="N62" s="6"/>
    </row>
    <row r="63" spans="1:14" ht="15.75" hidden="1" customHeight="1" x14ac:dyDescent="0.25">
      <c r="A63" s="3" t="s">
        <v>164</v>
      </c>
      <c r="B63" s="6">
        <v>19302400</v>
      </c>
      <c r="C63" s="3" t="s">
        <v>14</v>
      </c>
      <c r="D63" s="4">
        <v>45415</v>
      </c>
      <c r="E63" s="4">
        <v>45507</v>
      </c>
      <c r="F63" s="3" t="s">
        <v>165</v>
      </c>
      <c r="G63" s="3" t="s">
        <v>21</v>
      </c>
      <c r="H63" s="3">
        <v>1085283723</v>
      </c>
      <c r="I63" s="3" t="s">
        <v>166</v>
      </c>
      <c r="J63" s="3">
        <v>36950699</v>
      </c>
      <c r="K63" s="3" t="s">
        <v>58</v>
      </c>
      <c r="L63" s="6">
        <v>14476800</v>
      </c>
      <c r="M63" s="6">
        <f t="shared" si="0"/>
        <v>4825600</v>
      </c>
      <c r="N63" s="6"/>
    </row>
    <row r="64" spans="1:14" ht="15.75" hidden="1" customHeight="1" x14ac:dyDescent="0.25">
      <c r="A64" s="3" t="s">
        <v>167</v>
      </c>
      <c r="B64" s="6">
        <v>22500000</v>
      </c>
      <c r="C64" s="3" t="s">
        <v>14</v>
      </c>
      <c r="D64" s="4">
        <v>45408</v>
      </c>
      <c r="E64" s="4">
        <v>45499</v>
      </c>
      <c r="F64" s="3" t="s">
        <v>116</v>
      </c>
      <c r="G64" s="3" t="s">
        <v>21</v>
      </c>
      <c r="H64" s="3">
        <v>1126004086</v>
      </c>
      <c r="I64" s="3" t="s">
        <v>168</v>
      </c>
      <c r="J64" s="3">
        <v>36950699</v>
      </c>
      <c r="K64" s="3" t="s">
        <v>58</v>
      </c>
      <c r="L64" s="6">
        <v>22500000</v>
      </c>
      <c r="M64" s="6">
        <f t="shared" si="0"/>
        <v>0</v>
      </c>
      <c r="N64" s="6"/>
    </row>
    <row r="65" spans="1:26" ht="15.75" hidden="1" customHeight="1" x14ac:dyDescent="0.25">
      <c r="A65" s="3" t="s">
        <v>169</v>
      </c>
      <c r="B65" s="6">
        <v>19302400</v>
      </c>
      <c r="C65" s="3" t="s">
        <v>14</v>
      </c>
      <c r="D65" s="4">
        <v>45420</v>
      </c>
      <c r="E65" s="4">
        <v>45512</v>
      </c>
      <c r="F65" s="3" t="s">
        <v>149</v>
      </c>
      <c r="G65" s="3" t="s">
        <v>21</v>
      </c>
      <c r="H65" s="3">
        <v>1088730712</v>
      </c>
      <c r="I65" s="3" t="s">
        <v>170</v>
      </c>
      <c r="J65" s="3">
        <v>59822566</v>
      </c>
      <c r="K65" s="3" t="s">
        <v>23</v>
      </c>
      <c r="L65" s="6">
        <v>14476800</v>
      </c>
      <c r="M65" s="6">
        <f t="shared" si="0"/>
        <v>4825600</v>
      </c>
      <c r="N65" s="11"/>
      <c r="O65" s="10"/>
      <c r="P65" s="10"/>
      <c r="Q65" s="10"/>
      <c r="R65" s="10"/>
      <c r="S65" s="10"/>
      <c r="T65" s="10"/>
      <c r="U65" s="10"/>
      <c r="V65" s="10"/>
      <c r="W65" s="10"/>
      <c r="X65" s="10"/>
      <c r="Y65" s="10"/>
      <c r="Z65" s="10"/>
    </row>
    <row r="66" spans="1:26" ht="15.75" hidden="1" customHeight="1" x14ac:dyDescent="0.25">
      <c r="A66" s="3" t="s">
        <v>171</v>
      </c>
      <c r="B66" s="6">
        <v>19302400</v>
      </c>
      <c r="C66" s="3" t="s">
        <v>14</v>
      </c>
      <c r="D66" s="4">
        <v>45420</v>
      </c>
      <c r="E66" s="4">
        <v>45512</v>
      </c>
      <c r="F66" s="3" t="s">
        <v>172</v>
      </c>
      <c r="G66" s="3" t="s">
        <v>21</v>
      </c>
      <c r="H66" s="3">
        <v>1085269530</v>
      </c>
      <c r="I66" s="3" t="s">
        <v>173</v>
      </c>
      <c r="J66" s="3">
        <v>98333941</v>
      </c>
      <c r="K66" s="3" t="s">
        <v>26</v>
      </c>
      <c r="L66" s="6">
        <v>14476800</v>
      </c>
      <c r="M66" s="6">
        <f t="shared" si="0"/>
        <v>4825600</v>
      </c>
      <c r="N66" s="6"/>
    </row>
    <row r="67" spans="1:26" ht="15.75" hidden="1" customHeight="1" x14ac:dyDescent="0.25">
      <c r="A67" s="3" t="s">
        <v>174</v>
      </c>
      <c r="B67" s="6">
        <v>19302400</v>
      </c>
      <c r="C67" s="3" t="s">
        <v>14</v>
      </c>
      <c r="D67" s="4">
        <v>45421</v>
      </c>
      <c r="E67" s="4">
        <v>45513</v>
      </c>
      <c r="F67" s="3" t="s">
        <v>172</v>
      </c>
      <c r="G67" s="3" t="s">
        <v>21</v>
      </c>
      <c r="H67" s="3">
        <v>1085321578</v>
      </c>
      <c r="I67" s="3" t="s">
        <v>175</v>
      </c>
      <c r="J67" s="3">
        <v>59822566</v>
      </c>
      <c r="K67" s="3" t="s">
        <v>23</v>
      </c>
      <c r="L67" s="6">
        <v>14476800</v>
      </c>
      <c r="M67" s="6">
        <f t="shared" si="0"/>
        <v>4825600</v>
      </c>
      <c r="N67" s="6"/>
    </row>
    <row r="68" spans="1:26" ht="15.75" hidden="1" customHeight="1" x14ac:dyDescent="0.25">
      <c r="A68" s="3" t="s">
        <v>176</v>
      </c>
      <c r="B68" s="6">
        <v>19302400</v>
      </c>
      <c r="C68" s="3" t="s">
        <v>14</v>
      </c>
      <c r="D68" s="4">
        <v>45421</v>
      </c>
      <c r="E68" s="4">
        <v>45513</v>
      </c>
      <c r="F68" s="3" t="s">
        <v>165</v>
      </c>
      <c r="G68" s="3" t="s">
        <v>21</v>
      </c>
      <c r="H68" s="3">
        <v>59310145</v>
      </c>
      <c r="I68" s="3" t="s">
        <v>177</v>
      </c>
      <c r="J68" s="3">
        <v>98333941</v>
      </c>
      <c r="K68" s="3" t="s">
        <v>26</v>
      </c>
      <c r="L68" s="6">
        <v>14476800</v>
      </c>
      <c r="M68" s="6">
        <f t="shared" si="0"/>
        <v>4825600</v>
      </c>
      <c r="N68" s="6"/>
    </row>
    <row r="69" spans="1:26" ht="15.75" hidden="1" customHeight="1" x14ac:dyDescent="0.25">
      <c r="A69" s="3" t="s">
        <v>178</v>
      </c>
      <c r="B69" s="6">
        <v>19302400</v>
      </c>
      <c r="C69" s="3" t="s">
        <v>14</v>
      </c>
      <c r="D69" s="4">
        <v>45428</v>
      </c>
      <c r="E69" s="4">
        <v>45520</v>
      </c>
      <c r="F69" s="3" t="s">
        <v>179</v>
      </c>
      <c r="G69" s="3" t="s">
        <v>21</v>
      </c>
      <c r="H69" s="3">
        <v>1085289739</v>
      </c>
      <c r="I69" s="3" t="s">
        <v>180</v>
      </c>
      <c r="J69" s="3">
        <v>36950699</v>
      </c>
      <c r="K69" s="3" t="s">
        <v>58</v>
      </c>
      <c r="L69" s="6">
        <v>14476800</v>
      </c>
      <c r="M69" s="6">
        <f t="shared" si="0"/>
        <v>4825600</v>
      </c>
      <c r="N69" s="6"/>
    </row>
    <row r="70" spans="1:26" ht="15.75" hidden="1" customHeight="1" x14ac:dyDescent="0.25">
      <c r="A70" s="3" t="s">
        <v>181</v>
      </c>
      <c r="B70" s="6">
        <v>19000000</v>
      </c>
      <c r="C70" s="3" t="s">
        <v>14</v>
      </c>
      <c r="D70" s="4">
        <v>45402</v>
      </c>
      <c r="E70" s="4">
        <v>45493</v>
      </c>
      <c r="F70" s="3" t="s">
        <v>46</v>
      </c>
      <c r="G70" s="3" t="s">
        <v>21</v>
      </c>
      <c r="H70" s="3">
        <v>59816986</v>
      </c>
      <c r="I70" s="3" t="s">
        <v>182</v>
      </c>
      <c r="J70" s="3">
        <v>98333941</v>
      </c>
      <c r="K70" s="3" t="s">
        <v>26</v>
      </c>
      <c r="L70" s="6">
        <v>14250000</v>
      </c>
      <c r="M70" s="6">
        <f t="shared" si="0"/>
        <v>4750000</v>
      </c>
      <c r="N70" s="6"/>
    </row>
    <row r="71" spans="1:26" ht="15.75" hidden="1" customHeight="1" x14ac:dyDescent="0.25">
      <c r="A71" s="3" t="s">
        <v>183</v>
      </c>
      <c r="B71" s="6">
        <v>19000000</v>
      </c>
      <c r="C71" s="3" t="s">
        <v>14</v>
      </c>
      <c r="D71" s="4">
        <v>45404</v>
      </c>
      <c r="E71" s="4">
        <v>45495</v>
      </c>
      <c r="F71" s="3" t="s">
        <v>46</v>
      </c>
      <c r="G71" s="3" t="s">
        <v>21</v>
      </c>
      <c r="H71" s="3">
        <v>59312865</v>
      </c>
      <c r="I71" s="3" t="s">
        <v>184</v>
      </c>
      <c r="J71" s="3">
        <v>36950699</v>
      </c>
      <c r="K71" s="3" t="s">
        <v>58</v>
      </c>
      <c r="L71" s="6">
        <v>14250000</v>
      </c>
      <c r="M71" s="6">
        <f t="shared" si="0"/>
        <v>4750000</v>
      </c>
      <c r="N71" s="6"/>
    </row>
    <row r="72" spans="1:26" ht="15.75" hidden="1" customHeight="1" x14ac:dyDescent="0.25">
      <c r="A72" s="3" t="s">
        <v>185</v>
      </c>
      <c r="B72" s="6">
        <v>19000000</v>
      </c>
      <c r="C72" s="3" t="s">
        <v>14</v>
      </c>
      <c r="D72" s="4">
        <v>45404</v>
      </c>
      <c r="E72" s="4">
        <v>45495</v>
      </c>
      <c r="F72" s="3" t="s">
        <v>46</v>
      </c>
      <c r="G72" s="3" t="s">
        <v>21</v>
      </c>
      <c r="H72" s="3">
        <v>59824313</v>
      </c>
      <c r="I72" s="3" t="s">
        <v>186</v>
      </c>
      <c r="J72" s="3">
        <v>59822566</v>
      </c>
      <c r="K72" s="3" t="s">
        <v>23</v>
      </c>
      <c r="L72" s="6">
        <v>14250000</v>
      </c>
      <c r="M72" s="6">
        <f t="shared" si="0"/>
        <v>4750000</v>
      </c>
      <c r="N72" s="6"/>
    </row>
    <row r="73" spans="1:26" ht="15.75" hidden="1" customHeight="1" x14ac:dyDescent="0.25">
      <c r="A73" s="3" t="s">
        <v>187</v>
      </c>
      <c r="B73" s="6">
        <v>19000000</v>
      </c>
      <c r="C73" s="3" t="s">
        <v>14</v>
      </c>
      <c r="D73" s="4">
        <v>45405</v>
      </c>
      <c r="E73" s="4">
        <v>45496</v>
      </c>
      <c r="F73" s="3" t="s">
        <v>188</v>
      </c>
      <c r="G73" s="3" t="s">
        <v>21</v>
      </c>
      <c r="H73" s="3">
        <v>1087414586</v>
      </c>
      <c r="I73" s="3" t="s">
        <v>189</v>
      </c>
      <c r="J73" s="3">
        <v>59822566</v>
      </c>
      <c r="K73" s="3" t="s">
        <v>23</v>
      </c>
      <c r="L73" s="6">
        <v>14250000</v>
      </c>
      <c r="M73" s="6">
        <f t="shared" si="0"/>
        <v>4750000</v>
      </c>
      <c r="N73" s="6"/>
    </row>
    <row r="74" spans="1:26" ht="15.75" hidden="1" customHeight="1" x14ac:dyDescent="0.25">
      <c r="A74" s="3" t="s">
        <v>190</v>
      </c>
      <c r="B74" s="6">
        <v>19000000</v>
      </c>
      <c r="C74" s="3" t="s">
        <v>14</v>
      </c>
      <c r="D74" s="4">
        <v>45407</v>
      </c>
      <c r="E74" s="4">
        <v>45498</v>
      </c>
      <c r="F74" s="3" t="s">
        <v>41</v>
      </c>
      <c r="G74" s="3" t="s">
        <v>21</v>
      </c>
      <c r="H74" s="3">
        <v>36953206</v>
      </c>
      <c r="I74" s="3" t="s">
        <v>191</v>
      </c>
      <c r="J74" s="3">
        <v>36950699</v>
      </c>
      <c r="K74" s="3" t="s">
        <v>58</v>
      </c>
      <c r="L74" s="6">
        <v>14250000</v>
      </c>
      <c r="M74" s="6">
        <f t="shared" si="0"/>
        <v>4750000</v>
      </c>
      <c r="N74" s="6"/>
    </row>
    <row r="75" spans="1:26" ht="15.75" hidden="1" customHeight="1" x14ac:dyDescent="0.25">
      <c r="A75" s="3" t="s">
        <v>192</v>
      </c>
      <c r="B75" s="6">
        <v>19000000</v>
      </c>
      <c r="C75" s="3" t="s">
        <v>14</v>
      </c>
      <c r="D75" s="4">
        <v>45412</v>
      </c>
      <c r="E75" s="4">
        <v>45503</v>
      </c>
      <c r="F75" s="3" t="s">
        <v>41</v>
      </c>
      <c r="G75" s="3" t="s">
        <v>21</v>
      </c>
      <c r="H75" s="3">
        <v>1085303067</v>
      </c>
      <c r="I75" s="3" t="s">
        <v>193</v>
      </c>
      <c r="J75" s="3">
        <v>36950699</v>
      </c>
      <c r="K75" s="3" t="s">
        <v>194</v>
      </c>
      <c r="L75" s="6">
        <v>14250000</v>
      </c>
      <c r="M75" s="6">
        <f t="shared" si="0"/>
        <v>4750000</v>
      </c>
      <c r="N75" s="6"/>
    </row>
    <row r="76" spans="1:26" ht="15.75" hidden="1" customHeight="1" x14ac:dyDescent="0.25">
      <c r="A76" s="3" t="s">
        <v>195</v>
      </c>
      <c r="B76" s="6">
        <v>19000000</v>
      </c>
      <c r="C76" s="3" t="s">
        <v>14</v>
      </c>
      <c r="D76" s="4">
        <v>45412</v>
      </c>
      <c r="E76" s="4">
        <v>45503</v>
      </c>
      <c r="F76" s="3" t="s">
        <v>46</v>
      </c>
      <c r="G76" s="3" t="s">
        <v>21</v>
      </c>
      <c r="H76" s="3">
        <v>1085293619</v>
      </c>
      <c r="I76" s="3" t="s">
        <v>196</v>
      </c>
      <c r="J76" s="3">
        <v>36950699</v>
      </c>
      <c r="K76" s="3" t="s">
        <v>58</v>
      </c>
      <c r="L76" s="6">
        <v>14250000</v>
      </c>
      <c r="M76" s="6">
        <f t="shared" si="0"/>
        <v>4750000</v>
      </c>
      <c r="N76" s="6"/>
    </row>
    <row r="77" spans="1:26" ht="15.75" hidden="1" customHeight="1" x14ac:dyDescent="0.25">
      <c r="A77" s="3" t="s">
        <v>197</v>
      </c>
      <c r="B77" s="6">
        <v>19000000</v>
      </c>
      <c r="C77" s="3" t="s">
        <v>14</v>
      </c>
      <c r="D77" s="4">
        <v>45414</v>
      </c>
      <c r="E77" s="4">
        <v>45506</v>
      </c>
      <c r="F77" s="3" t="s">
        <v>198</v>
      </c>
      <c r="G77" s="3" t="s">
        <v>21</v>
      </c>
      <c r="H77" s="3">
        <v>1085273424</v>
      </c>
      <c r="I77" s="3" t="s">
        <v>199</v>
      </c>
      <c r="J77" s="3">
        <v>36950699</v>
      </c>
      <c r="K77" s="3" t="s">
        <v>58</v>
      </c>
      <c r="L77" s="6">
        <v>14250000</v>
      </c>
      <c r="M77" s="6">
        <f t="shared" si="0"/>
        <v>4750000</v>
      </c>
      <c r="N77" s="6"/>
    </row>
    <row r="78" spans="1:26" ht="15.75" hidden="1" customHeight="1" x14ac:dyDescent="0.25">
      <c r="A78" s="3" t="s">
        <v>200</v>
      </c>
      <c r="B78" s="6">
        <v>19000000</v>
      </c>
      <c r="C78" s="3" t="s">
        <v>14</v>
      </c>
      <c r="D78" s="4">
        <v>45419</v>
      </c>
      <c r="E78" s="4">
        <v>45511</v>
      </c>
      <c r="F78" s="3" t="s">
        <v>201</v>
      </c>
      <c r="G78" s="3" t="s">
        <v>21</v>
      </c>
      <c r="H78" s="3">
        <v>1085318201</v>
      </c>
      <c r="I78" s="3" t="s">
        <v>202</v>
      </c>
      <c r="J78" s="3">
        <v>98390119</v>
      </c>
      <c r="K78" s="3" t="s">
        <v>33</v>
      </c>
      <c r="L78" s="6">
        <v>14250000</v>
      </c>
      <c r="M78" s="6">
        <f t="shared" si="0"/>
        <v>4750000</v>
      </c>
      <c r="N78" s="6"/>
    </row>
    <row r="79" spans="1:26" ht="15.75" hidden="1" customHeight="1" x14ac:dyDescent="0.25">
      <c r="A79" s="3" t="s">
        <v>203</v>
      </c>
      <c r="B79" s="6">
        <v>19000000</v>
      </c>
      <c r="C79" s="3" t="s">
        <v>14</v>
      </c>
      <c r="D79" s="4">
        <v>45420</v>
      </c>
      <c r="E79" s="4">
        <v>45512</v>
      </c>
      <c r="F79" s="3" t="s">
        <v>41</v>
      </c>
      <c r="G79" s="3" t="s">
        <v>21</v>
      </c>
      <c r="H79" s="3">
        <v>1085330309</v>
      </c>
      <c r="I79" s="3" t="s">
        <v>204</v>
      </c>
      <c r="J79" s="3">
        <v>59822566</v>
      </c>
      <c r="K79" s="3" t="s">
        <v>23</v>
      </c>
      <c r="L79" s="6">
        <v>14250000</v>
      </c>
      <c r="M79" s="6">
        <f t="shared" si="0"/>
        <v>4750000</v>
      </c>
      <c r="N79" s="6"/>
    </row>
    <row r="80" spans="1:26" ht="15.75" hidden="1" customHeight="1" x14ac:dyDescent="0.25">
      <c r="A80" s="3" t="s">
        <v>205</v>
      </c>
      <c r="B80" s="6">
        <v>19000000</v>
      </c>
      <c r="C80" s="3" t="s">
        <v>14</v>
      </c>
      <c r="D80" s="4">
        <v>45427</v>
      </c>
      <c r="E80" s="4">
        <v>45519</v>
      </c>
      <c r="F80" s="3" t="s">
        <v>41</v>
      </c>
      <c r="G80" s="3" t="s">
        <v>21</v>
      </c>
      <c r="H80" s="3">
        <v>1085318684</v>
      </c>
      <c r="I80" s="3" t="s">
        <v>206</v>
      </c>
      <c r="J80" s="3">
        <v>36950699</v>
      </c>
      <c r="K80" s="3" t="s">
        <v>58</v>
      </c>
      <c r="L80" s="6">
        <v>14250000</v>
      </c>
      <c r="M80" s="6">
        <f t="shared" si="0"/>
        <v>4750000</v>
      </c>
      <c r="N80" s="6"/>
    </row>
    <row r="81" spans="1:14" ht="15.75" hidden="1" customHeight="1" x14ac:dyDescent="0.25">
      <c r="A81" s="3" t="s">
        <v>207</v>
      </c>
      <c r="B81" s="6">
        <v>14476800</v>
      </c>
      <c r="C81" s="3" t="s">
        <v>14</v>
      </c>
      <c r="D81" s="4">
        <v>45418</v>
      </c>
      <c r="E81" s="4">
        <v>45510</v>
      </c>
      <c r="F81" s="3" t="s">
        <v>149</v>
      </c>
      <c r="G81" s="3" t="s">
        <v>21</v>
      </c>
      <c r="H81" s="3">
        <v>59177204</v>
      </c>
      <c r="I81" s="3" t="s">
        <v>208</v>
      </c>
      <c r="J81" s="3">
        <v>98333941</v>
      </c>
      <c r="K81" s="3" t="s">
        <v>26</v>
      </c>
      <c r="L81" s="6">
        <v>14476800</v>
      </c>
      <c r="M81" s="6">
        <f t="shared" si="0"/>
        <v>0</v>
      </c>
      <c r="N81" s="6"/>
    </row>
    <row r="82" spans="1:14" ht="15.75" hidden="1" customHeight="1" x14ac:dyDescent="0.25">
      <c r="A82" s="3" t="s">
        <v>209</v>
      </c>
      <c r="B82" s="6">
        <v>19000000</v>
      </c>
      <c r="C82" s="3" t="s">
        <v>14</v>
      </c>
      <c r="D82" s="4">
        <v>45429</v>
      </c>
      <c r="E82" s="4">
        <v>45521</v>
      </c>
      <c r="F82" s="3" t="s">
        <v>201</v>
      </c>
      <c r="G82" s="3" t="s">
        <v>21</v>
      </c>
      <c r="H82" s="3">
        <v>1085324546</v>
      </c>
      <c r="I82" s="3" t="s">
        <v>210</v>
      </c>
      <c r="J82" s="3">
        <v>59822566</v>
      </c>
      <c r="K82" s="3" t="s">
        <v>23</v>
      </c>
      <c r="L82" s="6">
        <v>14250000</v>
      </c>
      <c r="M82" s="6">
        <f t="shared" si="0"/>
        <v>4750000</v>
      </c>
      <c r="N82" s="6"/>
    </row>
    <row r="83" spans="1:14" ht="15.75" hidden="1" customHeight="1" x14ac:dyDescent="0.25">
      <c r="A83" s="3" t="s">
        <v>211</v>
      </c>
      <c r="B83" s="6">
        <v>19000000</v>
      </c>
      <c r="C83" s="3" t="s">
        <v>14</v>
      </c>
      <c r="D83" s="4">
        <v>45436</v>
      </c>
      <c r="E83" s="4">
        <v>45528</v>
      </c>
      <c r="F83" s="3" t="s">
        <v>201</v>
      </c>
      <c r="G83" s="3" t="s">
        <v>21</v>
      </c>
      <c r="H83" s="3">
        <v>1087413951</v>
      </c>
      <c r="I83" s="3" t="s">
        <v>212</v>
      </c>
      <c r="J83" s="3">
        <v>98390119</v>
      </c>
      <c r="K83" s="3" t="s">
        <v>33</v>
      </c>
      <c r="L83" s="6">
        <v>14250000</v>
      </c>
      <c r="M83" s="6">
        <f t="shared" si="0"/>
        <v>4750000</v>
      </c>
      <c r="N83" s="6"/>
    </row>
    <row r="84" spans="1:14" ht="15.75" hidden="1" customHeight="1" x14ac:dyDescent="0.25">
      <c r="A84" s="3" t="s">
        <v>213</v>
      </c>
      <c r="B84" s="6">
        <v>19000000</v>
      </c>
      <c r="C84" s="3" t="s">
        <v>14</v>
      </c>
      <c r="D84" s="4">
        <v>45436</v>
      </c>
      <c r="E84" s="4">
        <v>45528</v>
      </c>
      <c r="F84" s="3" t="s">
        <v>198</v>
      </c>
      <c r="G84" s="3" t="s">
        <v>21</v>
      </c>
      <c r="H84" s="3">
        <v>1193383306</v>
      </c>
      <c r="I84" s="3" t="s">
        <v>214</v>
      </c>
      <c r="J84" s="3">
        <v>98333941</v>
      </c>
      <c r="K84" s="3" t="s">
        <v>26</v>
      </c>
      <c r="L84" s="6">
        <v>14250000</v>
      </c>
      <c r="M84" s="6">
        <f t="shared" si="0"/>
        <v>4750000</v>
      </c>
      <c r="N84" s="6"/>
    </row>
    <row r="85" spans="1:14" ht="15.75" hidden="1" customHeight="1" x14ac:dyDescent="0.25">
      <c r="A85" s="3" t="s">
        <v>215</v>
      </c>
      <c r="B85" s="6">
        <v>19000000</v>
      </c>
      <c r="C85" s="3" t="s">
        <v>14</v>
      </c>
      <c r="D85" s="4">
        <v>45436</v>
      </c>
      <c r="E85" s="4">
        <v>45528</v>
      </c>
      <c r="F85" s="3" t="s">
        <v>216</v>
      </c>
      <c r="G85" s="3" t="s">
        <v>21</v>
      </c>
      <c r="H85" s="3">
        <v>87060703</v>
      </c>
      <c r="I85" s="3" t="s">
        <v>217</v>
      </c>
      <c r="J85" s="3">
        <v>59822566</v>
      </c>
      <c r="K85" s="3" t="s">
        <v>23</v>
      </c>
      <c r="L85" s="6">
        <v>14250000</v>
      </c>
      <c r="M85" s="6">
        <f t="shared" si="0"/>
        <v>4750000</v>
      </c>
      <c r="N85" s="6"/>
    </row>
    <row r="86" spans="1:14" ht="15.75" hidden="1" customHeight="1" x14ac:dyDescent="0.25">
      <c r="A86" s="3" t="s">
        <v>218</v>
      </c>
      <c r="B86" s="6">
        <v>9000000</v>
      </c>
      <c r="C86" s="3" t="s">
        <v>14</v>
      </c>
      <c r="D86" s="4">
        <v>45422</v>
      </c>
      <c r="E86" s="4">
        <v>45514</v>
      </c>
      <c r="F86" s="3" t="s">
        <v>20</v>
      </c>
      <c r="G86" s="3" t="s">
        <v>21</v>
      </c>
      <c r="H86" s="3">
        <v>1085324107</v>
      </c>
      <c r="I86" s="3" t="s">
        <v>219</v>
      </c>
      <c r="J86" s="3">
        <v>98333941</v>
      </c>
      <c r="K86" s="3" t="s">
        <v>26</v>
      </c>
      <c r="L86" s="6">
        <v>6000000</v>
      </c>
      <c r="M86" s="6">
        <f t="shared" si="0"/>
        <v>3000000</v>
      </c>
      <c r="N86" s="6"/>
    </row>
    <row r="87" spans="1:14" ht="15.75" hidden="1" customHeight="1" x14ac:dyDescent="0.25">
      <c r="A87" s="3" t="s">
        <v>220</v>
      </c>
      <c r="B87" s="6">
        <v>8000000</v>
      </c>
      <c r="C87" s="3" t="s">
        <v>14</v>
      </c>
      <c r="D87" s="4">
        <v>45404</v>
      </c>
      <c r="E87" s="4">
        <v>45495</v>
      </c>
      <c r="F87" s="3" t="s">
        <v>90</v>
      </c>
      <c r="G87" s="3" t="s">
        <v>21</v>
      </c>
      <c r="H87" s="3">
        <v>1085344082</v>
      </c>
      <c r="I87" s="3" t="s">
        <v>221</v>
      </c>
      <c r="J87" s="3">
        <v>59822566</v>
      </c>
      <c r="K87" s="3" t="s">
        <v>23</v>
      </c>
      <c r="L87" s="6">
        <v>6000000</v>
      </c>
      <c r="M87" s="6">
        <f t="shared" si="0"/>
        <v>2000000</v>
      </c>
      <c r="N87" s="6"/>
    </row>
    <row r="88" spans="1:14" ht="15.75" hidden="1" customHeight="1" x14ac:dyDescent="0.25">
      <c r="A88" s="3" t="s">
        <v>222</v>
      </c>
      <c r="B88" s="6">
        <v>8000000</v>
      </c>
      <c r="C88" s="3" t="s">
        <v>14</v>
      </c>
      <c r="D88" s="4">
        <v>45404</v>
      </c>
      <c r="E88" s="4">
        <v>45495</v>
      </c>
      <c r="F88" s="3" t="s">
        <v>90</v>
      </c>
      <c r="G88" s="3" t="s">
        <v>21</v>
      </c>
      <c r="H88" s="3">
        <v>1193224810</v>
      </c>
      <c r="I88" s="3" t="s">
        <v>223</v>
      </c>
      <c r="J88" s="3">
        <v>59822566</v>
      </c>
      <c r="K88" s="3" t="s">
        <v>23</v>
      </c>
      <c r="L88" s="6">
        <v>6000000</v>
      </c>
      <c r="M88" s="6">
        <f t="shared" si="0"/>
        <v>2000000</v>
      </c>
      <c r="N88" s="6"/>
    </row>
    <row r="89" spans="1:14" ht="15.75" hidden="1" customHeight="1" x14ac:dyDescent="0.25">
      <c r="A89" s="3" t="s">
        <v>224</v>
      </c>
      <c r="B89" s="6">
        <v>8000000</v>
      </c>
      <c r="C89" s="3" t="s">
        <v>14</v>
      </c>
      <c r="D89" s="4">
        <v>45405</v>
      </c>
      <c r="E89" s="4">
        <v>45496</v>
      </c>
      <c r="F89" s="3" t="s">
        <v>90</v>
      </c>
      <c r="G89" s="3" t="s">
        <v>21</v>
      </c>
      <c r="H89" s="3">
        <v>36757213</v>
      </c>
      <c r="I89" s="3" t="s">
        <v>225</v>
      </c>
      <c r="J89" s="3">
        <v>98333941</v>
      </c>
      <c r="K89" s="3" t="s">
        <v>26</v>
      </c>
      <c r="L89" s="6">
        <v>6000000</v>
      </c>
      <c r="M89" s="6">
        <f t="shared" si="0"/>
        <v>2000000</v>
      </c>
      <c r="N89" s="6"/>
    </row>
    <row r="90" spans="1:14" ht="15.75" hidden="1" customHeight="1" x14ac:dyDescent="0.25">
      <c r="A90" s="3" t="s">
        <v>226</v>
      </c>
      <c r="B90" s="6">
        <v>8000000</v>
      </c>
      <c r="C90" s="3" t="s">
        <v>14</v>
      </c>
      <c r="D90" s="4">
        <v>45405</v>
      </c>
      <c r="E90" s="4">
        <v>45496</v>
      </c>
      <c r="F90" s="3" t="s">
        <v>20</v>
      </c>
      <c r="G90" s="3" t="s">
        <v>21</v>
      </c>
      <c r="H90" s="3">
        <v>59837416</v>
      </c>
      <c r="I90" s="3" t="s">
        <v>227</v>
      </c>
      <c r="J90" s="3">
        <v>98390119</v>
      </c>
      <c r="K90" s="3" t="s">
        <v>33</v>
      </c>
      <c r="L90" s="6">
        <v>6000000</v>
      </c>
      <c r="M90" s="6">
        <f t="shared" si="0"/>
        <v>2000000</v>
      </c>
      <c r="N90" s="6"/>
    </row>
    <row r="91" spans="1:14" ht="15.75" hidden="1" customHeight="1" x14ac:dyDescent="0.25">
      <c r="A91" s="3" t="s">
        <v>228</v>
      </c>
      <c r="B91" s="6">
        <v>8000000</v>
      </c>
      <c r="C91" s="3" t="s">
        <v>14</v>
      </c>
      <c r="D91" s="4">
        <v>45405</v>
      </c>
      <c r="E91" s="4">
        <v>45496</v>
      </c>
      <c r="F91" s="3" t="s">
        <v>20</v>
      </c>
      <c r="G91" s="3" t="s">
        <v>21</v>
      </c>
      <c r="H91" s="3">
        <v>1085250095</v>
      </c>
      <c r="I91" s="3" t="s">
        <v>229</v>
      </c>
      <c r="J91" s="3">
        <v>98333941</v>
      </c>
      <c r="K91" s="3" t="s">
        <v>26</v>
      </c>
      <c r="L91" s="6">
        <v>6000000</v>
      </c>
      <c r="M91" s="6">
        <f t="shared" si="0"/>
        <v>2000000</v>
      </c>
      <c r="N91" s="6"/>
    </row>
    <row r="92" spans="1:14" ht="15.75" hidden="1" customHeight="1" x14ac:dyDescent="0.25">
      <c r="A92" s="3" t="s">
        <v>230</v>
      </c>
      <c r="B92" s="6">
        <v>8000000</v>
      </c>
      <c r="C92" s="3" t="s">
        <v>14</v>
      </c>
      <c r="D92" s="4">
        <v>45406</v>
      </c>
      <c r="E92" s="4">
        <v>45497</v>
      </c>
      <c r="F92" s="3" t="s">
        <v>90</v>
      </c>
      <c r="G92" s="3" t="s">
        <v>21</v>
      </c>
      <c r="H92" s="3">
        <v>1004508436</v>
      </c>
      <c r="I92" s="3" t="s">
        <v>231</v>
      </c>
      <c r="J92" s="3">
        <v>98333941</v>
      </c>
      <c r="K92" s="3" t="s">
        <v>26</v>
      </c>
      <c r="L92" s="6">
        <v>6000000</v>
      </c>
      <c r="M92" s="6">
        <f t="shared" si="0"/>
        <v>2000000</v>
      </c>
      <c r="N92" s="6"/>
    </row>
    <row r="93" spans="1:14" ht="15.75" hidden="1" customHeight="1" x14ac:dyDescent="0.25">
      <c r="A93" s="3" t="s">
        <v>232</v>
      </c>
      <c r="B93" s="6">
        <v>8000000</v>
      </c>
      <c r="C93" s="3" t="s">
        <v>14</v>
      </c>
      <c r="D93" s="4">
        <v>45407</v>
      </c>
      <c r="E93" s="4">
        <v>45498</v>
      </c>
      <c r="F93" s="3" t="s">
        <v>20</v>
      </c>
      <c r="G93" s="3" t="s">
        <v>21</v>
      </c>
      <c r="H93" s="3">
        <v>1085260568</v>
      </c>
      <c r="I93" s="3" t="s">
        <v>233</v>
      </c>
      <c r="J93" s="3">
        <v>98333941</v>
      </c>
      <c r="K93" s="3" t="s">
        <v>26</v>
      </c>
      <c r="L93" s="6">
        <v>6000000</v>
      </c>
      <c r="M93" s="6">
        <f t="shared" si="0"/>
        <v>2000000</v>
      </c>
      <c r="N93" s="6"/>
    </row>
    <row r="94" spans="1:14" ht="15.75" hidden="1" customHeight="1" x14ac:dyDescent="0.25">
      <c r="A94" s="3" t="s">
        <v>234</v>
      </c>
      <c r="B94" s="6">
        <v>8000000</v>
      </c>
      <c r="C94" s="3" t="s">
        <v>14</v>
      </c>
      <c r="D94" s="4">
        <v>45407</v>
      </c>
      <c r="E94" s="4">
        <v>45498</v>
      </c>
      <c r="F94" s="3" t="s">
        <v>20</v>
      </c>
      <c r="G94" s="3" t="s">
        <v>21</v>
      </c>
      <c r="H94" s="3">
        <v>1085339190</v>
      </c>
      <c r="I94" s="3" t="s">
        <v>235</v>
      </c>
      <c r="J94" s="3">
        <v>59822566</v>
      </c>
      <c r="K94" s="3" t="s">
        <v>23</v>
      </c>
      <c r="L94" s="6">
        <v>6000000</v>
      </c>
      <c r="M94" s="6">
        <f t="shared" si="0"/>
        <v>2000000</v>
      </c>
      <c r="N94" s="6"/>
    </row>
    <row r="95" spans="1:14" ht="15.75" hidden="1" customHeight="1" x14ac:dyDescent="0.25">
      <c r="A95" s="3" t="s">
        <v>236</v>
      </c>
      <c r="B95" s="6">
        <v>8000000</v>
      </c>
      <c r="C95" s="3" t="s">
        <v>14</v>
      </c>
      <c r="D95" s="4">
        <v>45411</v>
      </c>
      <c r="E95" s="4">
        <v>45502</v>
      </c>
      <c r="F95" s="3" t="s">
        <v>90</v>
      </c>
      <c r="G95" s="3" t="s">
        <v>21</v>
      </c>
      <c r="H95" s="3">
        <v>1085286742</v>
      </c>
      <c r="I95" s="3" t="s">
        <v>237</v>
      </c>
      <c r="J95" s="3">
        <v>98390119</v>
      </c>
      <c r="K95" s="3" t="s">
        <v>33</v>
      </c>
      <c r="L95" s="6">
        <v>6000000</v>
      </c>
      <c r="M95" s="6">
        <f t="shared" si="0"/>
        <v>2000000</v>
      </c>
      <c r="N95" s="6"/>
    </row>
    <row r="96" spans="1:14" ht="15.75" hidden="1" customHeight="1" x14ac:dyDescent="0.25">
      <c r="A96" s="3" t="s">
        <v>238</v>
      </c>
      <c r="B96" s="6">
        <v>8000000</v>
      </c>
      <c r="C96" s="3" t="s">
        <v>14</v>
      </c>
      <c r="D96" s="4">
        <v>45412</v>
      </c>
      <c r="E96" s="4">
        <v>45503</v>
      </c>
      <c r="F96" s="3" t="s">
        <v>90</v>
      </c>
      <c r="G96" s="3" t="s">
        <v>21</v>
      </c>
      <c r="H96" s="3">
        <v>1085266584</v>
      </c>
      <c r="I96" s="3" t="s">
        <v>239</v>
      </c>
      <c r="J96" s="3">
        <v>98333941</v>
      </c>
      <c r="K96" s="3" t="s">
        <v>26</v>
      </c>
      <c r="L96" s="6">
        <v>6000000</v>
      </c>
      <c r="M96" s="6">
        <f t="shared" si="0"/>
        <v>2000000</v>
      </c>
      <c r="N96" s="6"/>
    </row>
    <row r="97" spans="1:14" ht="15.75" hidden="1" customHeight="1" x14ac:dyDescent="0.25">
      <c r="A97" s="3" t="s">
        <v>240</v>
      </c>
      <c r="B97" s="6">
        <v>8000000</v>
      </c>
      <c r="C97" s="3" t="s">
        <v>14</v>
      </c>
      <c r="D97" s="4">
        <v>45412</v>
      </c>
      <c r="E97" s="4">
        <v>45503</v>
      </c>
      <c r="F97" s="3" t="s">
        <v>241</v>
      </c>
      <c r="G97" s="3" t="s">
        <v>21</v>
      </c>
      <c r="H97" s="3">
        <v>1085296353</v>
      </c>
      <c r="I97" s="3" t="s">
        <v>242</v>
      </c>
      <c r="J97" s="3">
        <v>36950699</v>
      </c>
      <c r="K97" s="3" t="s">
        <v>58</v>
      </c>
      <c r="L97" s="6">
        <v>6000000</v>
      </c>
      <c r="M97" s="6">
        <f t="shared" si="0"/>
        <v>2000000</v>
      </c>
      <c r="N97" s="6"/>
    </row>
    <row r="98" spans="1:14" ht="15.75" hidden="1" customHeight="1" x14ac:dyDescent="0.25">
      <c r="A98" s="3" t="s">
        <v>243</v>
      </c>
      <c r="B98" s="6">
        <v>8000000</v>
      </c>
      <c r="C98" s="3" t="s">
        <v>14</v>
      </c>
      <c r="D98" s="4">
        <v>45412</v>
      </c>
      <c r="E98" s="4">
        <v>45503</v>
      </c>
      <c r="F98" s="3" t="s">
        <v>90</v>
      </c>
      <c r="G98" s="3" t="s">
        <v>21</v>
      </c>
      <c r="H98" s="3">
        <v>1085255972</v>
      </c>
      <c r="I98" s="3" t="s">
        <v>244</v>
      </c>
      <c r="J98" s="3">
        <v>98333941</v>
      </c>
      <c r="K98" s="3" t="s">
        <v>26</v>
      </c>
      <c r="L98" s="6">
        <v>6000000</v>
      </c>
      <c r="M98" s="6">
        <f t="shared" si="0"/>
        <v>2000000</v>
      </c>
      <c r="N98" s="6"/>
    </row>
    <row r="99" spans="1:14" ht="15.75" hidden="1" customHeight="1" x14ac:dyDescent="0.25">
      <c r="A99" s="3" t="s">
        <v>245</v>
      </c>
      <c r="B99" s="6">
        <v>8000000</v>
      </c>
      <c r="C99" s="3" t="s">
        <v>14</v>
      </c>
      <c r="D99" s="4">
        <v>45419</v>
      </c>
      <c r="E99" s="4">
        <v>45511</v>
      </c>
      <c r="F99" s="3" t="s">
        <v>90</v>
      </c>
      <c r="G99" s="3" t="s">
        <v>21</v>
      </c>
      <c r="H99" s="3">
        <v>59828916</v>
      </c>
      <c r="I99" s="3" t="s">
        <v>246</v>
      </c>
      <c r="J99" s="3">
        <v>36950699</v>
      </c>
      <c r="K99" s="3" t="s">
        <v>58</v>
      </c>
      <c r="L99" s="6">
        <v>6000000</v>
      </c>
      <c r="M99" s="6">
        <f t="shared" si="0"/>
        <v>2000000</v>
      </c>
      <c r="N99" s="6"/>
    </row>
    <row r="100" spans="1:14" ht="15.75" hidden="1" customHeight="1" x14ac:dyDescent="0.25">
      <c r="A100" s="3" t="s">
        <v>247</v>
      </c>
      <c r="B100" s="6">
        <v>8000000</v>
      </c>
      <c r="C100" s="3" t="s">
        <v>14</v>
      </c>
      <c r="D100" s="4">
        <v>45419</v>
      </c>
      <c r="E100" s="4">
        <v>45511</v>
      </c>
      <c r="F100" s="3" t="s">
        <v>90</v>
      </c>
      <c r="G100" s="3" t="s">
        <v>21</v>
      </c>
      <c r="H100" s="3">
        <v>1085313463</v>
      </c>
      <c r="I100" s="3" t="s">
        <v>248</v>
      </c>
      <c r="J100" s="3">
        <v>98333941</v>
      </c>
      <c r="K100" s="3" t="s">
        <v>26</v>
      </c>
      <c r="L100" s="6">
        <v>6000000</v>
      </c>
      <c r="M100" s="6">
        <f t="shared" si="0"/>
        <v>2000000</v>
      </c>
      <c r="N100" s="6"/>
    </row>
    <row r="101" spans="1:14" ht="15.75" hidden="1" customHeight="1" x14ac:dyDescent="0.25">
      <c r="A101" s="3" t="s">
        <v>249</v>
      </c>
      <c r="B101" s="6">
        <v>8000000</v>
      </c>
      <c r="C101" s="3" t="s">
        <v>14</v>
      </c>
      <c r="D101" s="4">
        <v>45421</v>
      </c>
      <c r="E101" s="4">
        <v>45513</v>
      </c>
      <c r="F101" s="3" t="s">
        <v>90</v>
      </c>
      <c r="G101" s="3" t="s">
        <v>21</v>
      </c>
      <c r="H101" s="3">
        <v>1004709928</v>
      </c>
      <c r="I101" s="3" t="s">
        <v>250</v>
      </c>
      <c r="J101" s="3">
        <v>59822566</v>
      </c>
      <c r="K101" s="3" t="s">
        <v>23</v>
      </c>
      <c r="L101" s="6">
        <v>6000000</v>
      </c>
      <c r="M101" s="6">
        <f t="shared" si="0"/>
        <v>2000000</v>
      </c>
      <c r="N101" s="6"/>
    </row>
    <row r="102" spans="1:14" ht="15.75" hidden="1" customHeight="1" x14ac:dyDescent="0.25">
      <c r="A102" s="3" t="s">
        <v>251</v>
      </c>
      <c r="B102" s="6">
        <v>8000000</v>
      </c>
      <c r="C102" s="3" t="s">
        <v>14</v>
      </c>
      <c r="D102" s="4">
        <v>45421</v>
      </c>
      <c r="E102" s="4">
        <v>45513</v>
      </c>
      <c r="F102" s="3" t="s">
        <v>252</v>
      </c>
      <c r="G102" s="3" t="s">
        <v>21</v>
      </c>
      <c r="H102" s="3">
        <v>1004135064</v>
      </c>
      <c r="I102" s="3" t="s">
        <v>253</v>
      </c>
      <c r="J102" s="3">
        <v>59822566</v>
      </c>
      <c r="K102" s="3" t="s">
        <v>23</v>
      </c>
      <c r="L102" s="6">
        <v>6000000</v>
      </c>
      <c r="M102" s="6">
        <f t="shared" si="0"/>
        <v>2000000</v>
      </c>
      <c r="N102" s="6"/>
    </row>
    <row r="103" spans="1:14" ht="15.75" hidden="1" customHeight="1" x14ac:dyDescent="0.25">
      <c r="A103" s="3" t="s">
        <v>254</v>
      </c>
      <c r="B103" s="6">
        <v>8000000</v>
      </c>
      <c r="C103" s="3" t="s">
        <v>14</v>
      </c>
      <c r="D103" s="4">
        <v>45421</v>
      </c>
      <c r="E103" s="4">
        <v>45513</v>
      </c>
      <c r="F103" s="3" t="s">
        <v>20</v>
      </c>
      <c r="G103" s="3" t="s">
        <v>21</v>
      </c>
      <c r="H103" s="3">
        <v>69028150</v>
      </c>
      <c r="I103" s="3" t="s">
        <v>255</v>
      </c>
      <c r="J103" s="3">
        <v>36950699</v>
      </c>
      <c r="K103" s="3" t="s">
        <v>58</v>
      </c>
      <c r="L103" s="6">
        <v>6000000</v>
      </c>
      <c r="M103" s="6">
        <f t="shared" si="0"/>
        <v>2000000</v>
      </c>
      <c r="N103" s="6"/>
    </row>
    <row r="104" spans="1:14" ht="15.75" hidden="1" customHeight="1" x14ac:dyDescent="0.25">
      <c r="A104" s="3" t="s">
        <v>256</v>
      </c>
      <c r="B104" s="6">
        <v>8000000</v>
      </c>
      <c r="C104" s="3" t="s">
        <v>14</v>
      </c>
      <c r="D104" s="4">
        <v>45421</v>
      </c>
      <c r="E104" s="4">
        <v>45513</v>
      </c>
      <c r="F104" s="3" t="s">
        <v>20</v>
      </c>
      <c r="G104" s="3" t="s">
        <v>21</v>
      </c>
      <c r="H104" s="3">
        <v>1010082397</v>
      </c>
      <c r="I104" s="3" t="s">
        <v>257</v>
      </c>
      <c r="J104" s="3">
        <v>59822566</v>
      </c>
      <c r="K104" s="3" t="s">
        <v>23</v>
      </c>
      <c r="L104" s="6">
        <v>6000000</v>
      </c>
      <c r="M104" s="6">
        <f t="shared" si="0"/>
        <v>2000000</v>
      </c>
      <c r="N104" s="6"/>
    </row>
    <row r="105" spans="1:14" ht="15.75" hidden="1" customHeight="1" x14ac:dyDescent="0.25">
      <c r="A105" s="3" t="s">
        <v>258</v>
      </c>
      <c r="B105" s="6">
        <v>8000000</v>
      </c>
      <c r="C105" s="3" t="s">
        <v>14</v>
      </c>
      <c r="D105" s="4">
        <v>45421</v>
      </c>
      <c r="E105" s="4">
        <v>45513</v>
      </c>
      <c r="F105" s="3" t="s">
        <v>259</v>
      </c>
      <c r="G105" s="3" t="s">
        <v>21</v>
      </c>
      <c r="H105" s="3">
        <v>1080040858</v>
      </c>
      <c r="I105" s="3" t="s">
        <v>260</v>
      </c>
      <c r="J105" s="3">
        <v>36950699</v>
      </c>
      <c r="K105" s="3" t="s">
        <v>58</v>
      </c>
      <c r="L105" s="6">
        <v>6000000</v>
      </c>
      <c r="M105" s="6">
        <f t="shared" si="0"/>
        <v>2000000</v>
      </c>
      <c r="N105" s="6"/>
    </row>
    <row r="106" spans="1:14" ht="15.75" hidden="1" customHeight="1" x14ac:dyDescent="0.25">
      <c r="A106" s="3" t="s">
        <v>261</v>
      </c>
      <c r="B106" s="6">
        <v>8000000</v>
      </c>
      <c r="C106" s="3" t="s">
        <v>14</v>
      </c>
      <c r="D106" s="4">
        <v>45421</v>
      </c>
      <c r="E106" s="4">
        <v>45513</v>
      </c>
      <c r="F106" s="3" t="s">
        <v>259</v>
      </c>
      <c r="G106" s="3" t="s">
        <v>21</v>
      </c>
      <c r="H106" s="3">
        <v>59830040</v>
      </c>
      <c r="I106" s="3" t="s">
        <v>262</v>
      </c>
      <c r="J106" s="3">
        <v>59822566</v>
      </c>
      <c r="K106" s="3" t="s">
        <v>23</v>
      </c>
      <c r="L106" s="6">
        <v>6000000</v>
      </c>
      <c r="M106" s="6">
        <f t="shared" si="0"/>
        <v>2000000</v>
      </c>
      <c r="N106" s="6"/>
    </row>
    <row r="107" spans="1:14" ht="15.75" hidden="1" customHeight="1" x14ac:dyDescent="0.25">
      <c r="A107" s="3" t="s">
        <v>263</v>
      </c>
      <c r="B107" s="6">
        <v>8000000</v>
      </c>
      <c r="C107" s="3" t="s">
        <v>14</v>
      </c>
      <c r="D107" s="4">
        <v>45422</v>
      </c>
      <c r="E107" s="4">
        <v>45514</v>
      </c>
      <c r="F107" s="3" t="s">
        <v>20</v>
      </c>
      <c r="G107" s="3" t="s">
        <v>21</v>
      </c>
      <c r="H107" s="3">
        <v>1193218691</v>
      </c>
      <c r="I107" s="3" t="s">
        <v>264</v>
      </c>
      <c r="J107" s="3">
        <v>98390119</v>
      </c>
      <c r="K107" s="3" t="s">
        <v>33</v>
      </c>
      <c r="L107" s="6">
        <v>6000000</v>
      </c>
      <c r="M107" s="6">
        <f t="shared" si="0"/>
        <v>2000000</v>
      </c>
      <c r="N107" s="6"/>
    </row>
    <row r="108" spans="1:14" ht="15.75" hidden="1" customHeight="1" x14ac:dyDescent="0.25">
      <c r="A108" s="3" t="s">
        <v>265</v>
      </c>
      <c r="B108" s="6">
        <v>8000000</v>
      </c>
      <c r="C108" s="3" t="s">
        <v>14</v>
      </c>
      <c r="D108" s="4">
        <v>45426</v>
      </c>
      <c r="E108" s="4">
        <v>45518</v>
      </c>
      <c r="F108" s="3" t="s">
        <v>259</v>
      </c>
      <c r="G108" s="3" t="s">
        <v>21</v>
      </c>
      <c r="H108" s="3">
        <v>1004592366</v>
      </c>
      <c r="I108" s="3" t="s">
        <v>266</v>
      </c>
      <c r="J108" s="3">
        <v>36950699</v>
      </c>
      <c r="K108" s="3" t="s">
        <v>58</v>
      </c>
      <c r="L108" s="6">
        <v>6000000</v>
      </c>
      <c r="M108" s="6">
        <f t="shared" si="0"/>
        <v>2000000</v>
      </c>
      <c r="N108" s="6"/>
    </row>
    <row r="109" spans="1:14" ht="15.75" hidden="1" customHeight="1" x14ac:dyDescent="0.25">
      <c r="A109" s="3" t="s">
        <v>267</v>
      </c>
      <c r="B109" s="6">
        <v>8000000</v>
      </c>
      <c r="C109" s="3" t="s">
        <v>14</v>
      </c>
      <c r="D109" s="4">
        <v>45427</v>
      </c>
      <c r="E109" s="4">
        <v>45519</v>
      </c>
      <c r="F109" s="3" t="s">
        <v>20</v>
      </c>
      <c r="G109" s="3" t="s">
        <v>21</v>
      </c>
      <c r="H109" s="3">
        <v>1085316191</v>
      </c>
      <c r="I109" s="3" t="s">
        <v>268</v>
      </c>
      <c r="J109" s="3">
        <v>98390119</v>
      </c>
      <c r="K109" s="3" t="s">
        <v>33</v>
      </c>
      <c r="L109" s="6">
        <v>6000000</v>
      </c>
      <c r="M109" s="6">
        <f t="shared" si="0"/>
        <v>2000000</v>
      </c>
      <c r="N109" s="6"/>
    </row>
    <row r="110" spans="1:14" ht="15.75" hidden="1" customHeight="1" x14ac:dyDescent="0.25">
      <c r="A110" s="3" t="s">
        <v>269</v>
      </c>
      <c r="B110" s="6">
        <v>8000000</v>
      </c>
      <c r="C110" s="3" t="s">
        <v>14</v>
      </c>
      <c r="D110" s="4">
        <v>45427</v>
      </c>
      <c r="E110" s="4">
        <v>45519</v>
      </c>
      <c r="F110" s="3" t="s">
        <v>90</v>
      </c>
      <c r="G110" s="3" t="s">
        <v>21</v>
      </c>
      <c r="H110" s="3">
        <v>1085347540</v>
      </c>
      <c r="I110" s="3" t="s">
        <v>270</v>
      </c>
      <c r="J110" s="3">
        <v>59822566</v>
      </c>
      <c r="K110" s="3" t="s">
        <v>23</v>
      </c>
      <c r="L110" s="6">
        <v>6000000</v>
      </c>
      <c r="M110" s="6">
        <f t="shared" si="0"/>
        <v>2000000</v>
      </c>
      <c r="N110" s="6"/>
    </row>
    <row r="111" spans="1:14" ht="15.75" hidden="1" customHeight="1" x14ac:dyDescent="0.25">
      <c r="A111" s="3" t="s">
        <v>271</v>
      </c>
      <c r="B111" s="6">
        <v>8000000</v>
      </c>
      <c r="C111" s="3" t="s">
        <v>14</v>
      </c>
      <c r="D111" s="4">
        <v>45427</v>
      </c>
      <c r="E111" s="4">
        <v>45519</v>
      </c>
      <c r="F111" s="3" t="s">
        <v>90</v>
      </c>
      <c r="G111" s="3" t="s">
        <v>21</v>
      </c>
      <c r="H111" s="3">
        <v>1010113730</v>
      </c>
      <c r="I111" s="3" t="s">
        <v>272</v>
      </c>
      <c r="J111" s="3">
        <v>59822566</v>
      </c>
      <c r="K111" s="3" t="s">
        <v>23</v>
      </c>
      <c r="L111" s="6">
        <v>6000000</v>
      </c>
      <c r="M111" s="6">
        <f t="shared" si="0"/>
        <v>2000000</v>
      </c>
      <c r="N111" s="6"/>
    </row>
    <row r="112" spans="1:14" ht="15.75" hidden="1" customHeight="1" x14ac:dyDescent="0.25">
      <c r="A112" s="3" t="s">
        <v>273</v>
      </c>
      <c r="B112" s="6">
        <v>8000000</v>
      </c>
      <c r="C112" s="3" t="s">
        <v>14</v>
      </c>
      <c r="D112" s="4">
        <v>45427</v>
      </c>
      <c r="E112" s="4">
        <v>45519</v>
      </c>
      <c r="F112" s="3" t="s">
        <v>90</v>
      </c>
      <c r="G112" s="3" t="s">
        <v>21</v>
      </c>
      <c r="H112" s="3">
        <v>27285974</v>
      </c>
      <c r="I112" s="3" t="s">
        <v>274</v>
      </c>
      <c r="J112" s="3">
        <v>36950699</v>
      </c>
      <c r="K112" s="3" t="s">
        <v>58</v>
      </c>
      <c r="L112" s="6">
        <v>6000000</v>
      </c>
      <c r="M112" s="6">
        <f t="shared" si="0"/>
        <v>2000000</v>
      </c>
      <c r="N112" s="6"/>
    </row>
    <row r="113" spans="1:14" ht="15.75" hidden="1" customHeight="1" x14ac:dyDescent="0.25">
      <c r="A113" s="3" t="s">
        <v>275</v>
      </c>
      <c r="B113" s="6">
        <v>8000000</v>
      </c>
      <c r="C113" s="3" t="s">
        <v>14</v>
      </c>
      <c r="D113" s="4">
        <v>45428</v>
      </c>
      <c r="E113" s="4">
        <v>45520</v>
      </c>
      <c r="F113" s="3" t="s">
        <v>90</v>
      </c>
      <c r="G113" s="3" t="s">
        <v>21</v>
      </c>
      <c r="H113" s="3">
        <v>36757522</v>
      </c>
      <c r="I113" s="3" t="s">
        <v>276</v>
      </c>
      <c r="J113" s="3">
        <v>98390119</v>
      </c>
      <c r="K113" s="3" t="s">
        <v>33</v>
      </c>
      <c r="L113" s="6">
        <v>6000000</v>
      </c>
      <c r="M113" s="6">
        <f t="shared" si="0"/>
        <v>2000000</v>
      </c>
      <c r="N113" s="6"/>
    </row>
    <row r="114" spans="1:14" ht="15.75" hidden="1" customHeight="1" x14ac:dyDescent="0.25">
      <c r="A114" s="3" t="s">
        <v>277</v>
      </c>
      <c r="B114" s="6">
        <v>8000000</v>
      </c>
      <c r="C114" s="3" t="s">
        <v>14</v>
      </c>
      <c r="D114" s="4">
        <v>45428</v>
      </c>
      <c r="E114" s="4">
        <v>45520</v>
      </c>
      <c r="F114" s="3" t="s">
        <v>20</v>
      </c>
      <c r="G114" s="3" t="s">
        <v>21</v>
      </c>
      <c r="H114" s="3">
        <v>1085261053</v>
      </c>
      <c r="I114" s="3" t="s">
        <v>278</v>
      </c>
      <c r="J114" s="3">
        <v>98333941</v>
      </c>
      <c r="K114" s="3" t="s">
        <v>26</v>
      </c>
      <c r="L114" s="6">
        <v>6000000</v>
      </c>
      <c r="M114" s="6">
        <f t="shared" si="0"/>
        <v>2000000</v>
      </c>
      <c r="N114" s="6"/>
    </row>
    <row r="115" spans="1:14" ht="15.75" hidden="1" customHeight="1" x14ac:dyDescent="0.25">
      <c r="A115" s="3" t="s">
        <v>279</v>
      </c>
      <c r="B115" s="6">
        <v>8000000</v>
      </c>
      <c r="C115" s="3" t="s">
        <v>14</v>
      </c>
      <c r="D115" s="4">
        <v>45428</v>
      </c>
      <c r="E115" s="4">
        <v>45520</v>
      </c>
      <c r="F115" s="3" t="s">
        <v>20</v>
      </c>
      <c r="G115" s="3" t="s">
        <v>21</v>
      </c>
      <c r="H115" s="3">
        <v>1085338575</v>
      </c>
      <c r="I115" s="3" t="s">
        <v>280</v>
      </c>
      <c r="J115" s="3">
        <v>1085338575</v>
      </c>
      <c r="K115" s="3" t="s">
        <v>280</v>
      </c>
      <c r="L115" s="6">
        <v>6000000</v>
      </c>
      <c r="M115" s="6">
        <f t="shared" si="0"/>
        <v>2000000</v>
      </c>
      <c r="N115" s="6"/>
    </row>
    <row r="116" spans="1:14" ht="15.75" hidden="1" customHeight="1" x14ac:dyDescent="0.25">
      <c r="A116" s="3" t="s">
        <v>281</v>
      </c>
      <c r="B116" s="6">
        <v>8000000</v>
      </c>
      <c r="C116" s="3" t="s">
        <v>14</v>
      </c>
      <c r="D116" s="4">
        <v>45428</v>
      </c>
      <c r="E116" s="4">
        <v>45520</v>
      </c>
      <c r="F116" s="3" t="s">
        <v>90</v>
      </c>
      <c r="G116" s="3" t="s">
        <v>21</v>
      </c>
      <c r="H116" s="3">
        <v>1085325718</v>
      </c>
      <c r="I116" s="3" t="s">
        <v>282</v>
      </c>
      <c r="J116" s="3">
        <v>36950699</v>
      </c>
      <c r="K116" s="3" t="s">
        <v>58</v>
      </c>
      <c r="L116" s="6">
        <v>6000000</v>
      </c>
      <c r="M116" s="6">
        <f t="shared" si="0"/>
        <v>2000000</v>
      </c>
      <c r="N116" s="6"/>
    </row>
    <row r="117" spans="1:14" ht="15.75" hidden="1" customHeight="1" x14ac:dyDescent="0.25">
      <c r="A117" s="3" t="s">
        <v>283</v>
      </c>
      <c r="B117" s="6">
        <v>8000000</v>
      </c>
      <c r="C117" s="3" t="s">
        <v>14</v>
      </c>
      <c r="D117" s="4">
        <v>45432</v>
      </c>
      <c r="E117" s="4">
        <v>45524</v>
      </c>
      <c r="F117" s="3" t="s">
        <v>241</v>
      </c>
      <c r="G117" s="3" t="s">
        <v>21</v>
      </c>
      <c r="H117" s="3">
        <v>1085323101</v>
      </c>
      <c r="I117" s="3" t="s">
        <v>284</v>
      </c>
      <c r="J117" s="3">
        <v>59822566</v>
      </c>
      <c r="K117" s="3" t="s">
        <v>23</v>
      </c>
      <c r="L117" s="6">
        <v>6000000</v>
      </c>
      <c r="M117" s="6">
        <f t="shared" si="0"/>
        <v>2000000</v>
      </c>
      <c r="N117" s="6"/>
    </row>
    <row r="118" spans="1:14" ht="15.75" hidden="1" customHeight="1" x14ac:dyDescent="0.25">
      <c r="A118" s="3" t="s">
        <v>285</v>
      </c>
      <c r="B118" s="6">
        <v>8000000</v>
      </c>
      <c r="C118" s="3" t="s">
        <v>14</v>
      </c>
      <c r="D118" s="4">
        <v>45433</v>
      </c>
      <c r="E118" s="4">
        <v>45525</v>
      </c>
      <c r="F118" s="3" t="s">
        <v>286</v>
      </c>
      <c r="G118" s="3" t="s">
        <v>21</v>
      </c>
      <c r="H118" s="3">
        <v>1004232508</v>
      </c>
      <c r="I118" s="3" t="s">
        <v>287</v>
      </c>
      <c r="J118" s="3">
        <v>36950699</v>
      </c>
      <c r="K118" s="3" t="s">
        <v>58</v>
      </c>
      <c r="L118" s="6">
        <v>6000000</v>
      </c>
      <c r="M118" s="6">
        <f t="shared" si="0"/>
        <v>2000000</v>
      </c>
      <c r="N118" s="6"/>
    </row>
    <row r="119" spans="1:14" ht="15.75" hidden="1" customHeight="1" x14ac:dyDescent="0.25">
      <c r="A119" s="3" t="s">
        <v>288</v>
      </c>
      <c r="B119" s="6">
        <v>8000000</v>
      </c>
      <c r="C119" s="3" t="s">
        <v>14</v>
      </c>
      <c r="D119" s="4">
        <v>45433</v>
      </c>
      <c r="E119" s="4">
        <v>45525</v>
      </c>
      <c r="F119" s="3" t="s">
        <v>241</v>
      </c>
      <c r="G119" s="3" t="s">
        <v>21</v>
      </c>
      <c r="H119" s="3">
        <v>59813323</v>
      </c>
      <c r="I119" s="3" t="s">
        <v>289</v>
      </c>
      <c r="J119" s="3">
        <v>98390119</v>
      </c>
      <c r="K119" s="3" t="s">
        <v>33</v>
      </c>
      <c r="L119" s="6">
        <v>6000000</v>
      </c>
      <c r="M119" s="6">
        <f t="shared" si="0"/>
        <v>2000000</v>
      </c>
      <c r="N119" s="6"/>
    </row>
    <row r="120" spans="1:14" ht="15.75" hidden="1" customHeight="1" x14ac:dyDescent="0.25">
      <c r="A120" s="3" t="s">
        <v>290</v>
      </c>
      <c r="B120" s="6">
        <v>8000000</v>
      </c>
      <c r="C120" s="3" t="s">
        <v>14</v>
      </c>
      <c r="D120" s="4">
        <v>45434</v>
      </c>
      <c r="E120" s="4">
        <v>45526</v>
      </c>
      <c r="F120" s="3" t="s">
        <v>286</v>
      </c>
      <c r="G120" s="3" t="s">
        <v>21</v>
      </c>
      <c r="H120" s="3">
        <v>1081592303</v>
      </c>
      <c r="I120" s="3" t="s">
        <v>291</v>
      </c>
      <c r="J120" s="3">
        <v>98390119</v>
      </c>
      <c r="K120" s="3" t="s">
        <v>33</v>
      </c>
      <c r="L120" s="6">
        <v>6000000</v>
      </c>
      <c r="M120" s="6">
        <f t="shared" si="0"/>
        <v>2000000</v>
      </c>
      <c r="N120" s="6"/>
    </row>
    <row r="121" spans="1:14" ht="15.75" hidden="1" customHeight="1" x14ac:dyDescent="0.25">
      <c r="A121" s="3" t="s">
        <v>292</v>
      </c>
      <c r="B121" s="6">
        <v>8000000</v>
      </c>
      <c r="C121" s="3" t="s">
        <v>14</v>
      </c>
      <c r="D121" s="4">
        <v>45435</v>
      </c>
      <c r="E121" s="4">
        <v>45527</v>
      </c>
      <c r="F121" s="3" t="s">
        <v>293</v>
      </c>
      <c r="G121" s="3" t="s">
        <v>21</v>
      </c>
      <c r="H121" s="3">
        <v>1193265360</v>
      </c>
      <c r="I121" s="3" t="s">
        <v>294</v>
      </c>
      <c r="J121" s="3">
        <v>59822566</v>
      </c>
      <c r="K121" s="3" t="s">
        <v>23</v>
      </c>
      <c r="L121" s="6">
        <v>6000000</v>
      </c>
      <c r="M121" s="6">
        <f t="shared" si="0"/>
        <v>2000000</v>
      </c>
      <c r="N121" s="6"/>
    </row>
    <row r="122" spans="1:14" ht="15.75" hidden="1" customHeight="1" x14ac:dyDescent="0.25">
      <c r="A122" s="3" t="s">
        <v>295</v>
      </c>
      <c r="B122" s="6">
        <v>8000000</v>
      </c>
      <c r="C122" s="3" t="s">
        <v>14</v>
      </c>
      <c r="D122" s="4">
        <v>45435</v>
      </c>
      <c r="E122" s="4">
        <v>45527</v>
      </c>
      <c r="F122" s="3" t="s">
        <v>20</v>
      </c>
      <c r="G122" s="3" t="s">
        <v>21</v>
      </c>
      <c r="H122" s="3">
        <v>1004726758</v>
      </c>
      <c r="I122" s="3" t="s">
        <v>296</v>
      </c>
      <c r="J122" s="3">
        <v>36950699</v>
      </c>
      <c r="K122" s="3" t="s">
        <v>58</v>
      </c>
      <c r="L122" s="6">
        <v>6000000</v>
      </c>
      <c r="M122" s="6">
        <f t="shared" si="0"/>
        <v>2000000</v>
      </c>
      <c r="N122" s="6"/>
    </row>
    <row r="123" spans="1:14" ht="15.75" hidden="1" customHeight="1" x14ac:dyDescent="0.25">
      <c r="A123" s="3" t="s">
        <v>297</v>
      </c>
      <c r="B123" s="6">
        <v>8000000</v>
      </c>
      <c r="C123" s="3" t="s">
        <v>14</v>
      </c>
      <c r="D123" s="4">
        <v>45436</v>
      </c>
      <c r="E123" s="4">
        <v>45528</v>
      </c>
      <c r="F123" s="3" t="s">
        <v>241</v>
      </c>
      <c r="G123" s="3" t="s">
        <v>21</v>
      </c>
      <c r="H123" s="3">
        <v>59178610</v>
      </c>
      <c r="I123" s="3" t="s">
        <v>298</v>
      </c>
      <c r="J123" s="3">
        <v>59822566</v>
      </c>
      <c r="K123" s="3" t="s">
        <v>23</v>
      </c>
      <c r="L123" s="6">
        <v>6000000</v>
      </c>
      <c r="M123" s="6">
        <f t="shared" si="0"/>
        <v>2000000</v>
      </c>
      <c r="N123" s="6"/>
    </row>
    <row r="124" spans="1:14" ht="15.75" hidden="1" customHeight="1" x14ac:dyDescent="0.25">
      <c r="A124" s="3" t="s">
        <v>299</v>
      </c>
      <c r="B124" s="6">
        <v>8000000</v>
      </c>
      <c r="C124" s="3" t="s">
        <v>14</v>
      </c>
      <c r="D124" s="4">
        <v>45436</v>
      </c>
      <c r="E124" s="4">
        <v>45528</v>
      </c>
      <c r="F124" s="3" t="s">
        <v>286</v>
      </c>
      <c r="G124" s="3" t="s">
        <v>21</v>
      </c>
      <c r="H124" s="3">
        <v>1193271854</v>
      </c>
      <c r="I124" s="3" t="s">
        <v>300</v>
      </c>
      <c r="J124" s="3">
        <v>59822566</v>
      </c>
      <c r="K124" s="3" t="s">
        <v>23</v>
      </c>
      <c r="L124" s="6">
        <v>6000000</v>
      </c>
      <c r="M124" s="6">
        <f t="shared" si="0"/>
        <v>2000000</v>
      </c>
      <c r="N124" s="6"/>
    </row>
    <row r="125" spans="1:14" ht="15.75" hidden="1" customHeight="1" x14ac:dyDescent="0.25">
      <c r="A125" s="3" t="s">
        <v>301</v>
      </c>
      <c r="B125" s="6">
        <v>8000000</v>
      </c>
      <c r="C125" s="3" t="s">
        <v>14</v>
      </c>
      <c r="D125" s="4">
        <v>45436</v>
      </c>
      <c r="E125" s="4">
        <v>45528</v>
      </c>
      <c r="F125" s="3" t="s">
        <v>241</v>
      </c>
      <c r="G125" s="3" t="s">
        <v>21</v>
      </c>
      <c r="H125" s="3">
        <v>87070661</v>
      </c>
      <c r="I125" s="3" t="s">
        <v>302</v>
      </c>
      <c r="J125" s="3">
        <v>98390119</v>
      </c>
      <c r="K125" s="3" t="s">
        <v>33</v>
      </c>
      <c r="L125" s="6">
        <v>6000000</v>
      </c>
      <c r="M125" s="6">
        <f t="shared" si="0"/>
        <v>2000000</v>
      </c>
      <c r="N125" s="6"/>
    </row>
    <row r="126" spans="1:14" ht="15.75" hidden="1" customHeight="1" x14ac:dyDescent="0.25">
      <c r="A126" s="3" t="s">
        <v>303</v>
      </c>
      <c r="B126" s="6">
        <v>8000000</v>
      </c>
      <c r="C126" s="3" t="s">
        <v>14</v>
      </c>
      <c r="D126" s="4">
        <v>45436</v>
      </c>
      <c r="E126" s="4">
        <v>45528</v>
      </c>
      <c r="F126" s="3" t="s">
        <v>241</v>
      </c>
      <c r="G126" s="3" t="s">
        <v>21</v>
      </c>
      <c r="H126" s="3">
        <v>1014857280</v>
      </c>
      <c r="I126" s="3" t="s">
        <v>304</v>
      </c>
      <c r="J126" s="3">
        <v>1014857280</v>
      </c>
      <c r="K126" s="3" t="s">
        <v>26</v>
      </c>
      <c r="L126" s="6">
        <v>6000000</v>
      </c>
      <c r="M126" s="6">
        <f t="shared" si="0"/>
        <v>2000000</v>
      </c>
      <c r="N126" s="6"/>
    </row>
    <row r="127" spans="1:14" ht="15.75" hidden="1" customHeight="1" x14ac:dyDescent="0.25">
      <c r="A127" s="3" t="s">
        <v>305</v>
      </c>
      <c r="B127" s="6">
        <v>8000000</v>
      </c>
      <c r="C127" s="3" t="s">
        <v>14</v>
      </c>
      <c r="D127" s="4">
        <v>45436</v>
      </c>
      <c r="E127" s="4">
        <v>45528</v>
      </c>
      <c r="F127" s="3" t="s">
        <v>286</v>
      </c>
      <c r="G127" s="3" t="s">
        <v>21</v>
      </c>
      <c r="H127" s="3">
        <v>36758143</v>
      </c>
      <c r="I127" s="3" t="s">
        <v>306</v>
      </c>
      <c r="J127" s="3">
        <v>36950699</v>
      </c>
      <c r="K127" s="3" t="s">
        <v>58</v>
      </c>
      <c r="L127" s="6">
        <v>6000000</v>
      </c>
      <c r="M127" s="6">
        <f t="shared" si="0"/>
        <v>2000000</v>
      </c>
      <c r="N127" s="6"/>
    </row>
    <row r="128" spans="1:14" ht="15.75" hidden="1" customHeight="1" x14ac:dyDescent="0.25">
      <c r="A128" s="3" t="s">
        <v>307</v>
      </c>
      <c r="B128" s="6">
        <v>8000000</v>
      </c>
      <c r="C128" s="3" t="s">
        <v>14</v>
      </c>
      <c r="D128" s="4">
        <v>45436</v>
      </c>
      <c r="E128" s="4">
        <v>45528</v>
      </c>
      <c r="F128" s="3" t="s">
        <v>90</v>
      </c>
      <c r="G128" s="3" t="s">
        <v>21</v>
      </c>
      <c r="H128" s="3">
        <v>5930737</v>
      </c>
      <c r="I128" s="3" t="s">
        <v>308</v>
      </c>
      <c r="J128" s="3">
        <v>98390119</v>
      </c>
      <c r="K128" s="3" t="s">
        <v>33</v>
      </c>
      <c r="L128" s="6">
        <v>6000000</v>
      </c>
      <c r="M128" s="6">
        <f t="shared" si="0"/>
        <v>2000000</v>
      </c>
      <c r="N128" s="6"/>
    </row>
    <row r="129" spans="1:14" ht="15.75" hidden="1" customHeight="1" x14ac:dyDescent="0.25">
      <c r="A129" s="3" t="s">
        <v>309</v>
      </c>
      <c r="B129" s="6">
        <v>8000000</v>
      </c>
      <c r="C129" s="3" t="s">
        <v>14</v>
      </c>
      <c r="D129" s="4">
        <v>45436</v>
      </c>
      <c r="E129" s="4">
        <v>45528</v>
      </c>
      <c r="F129" s="3" t="s">
        <v>90</v>
      </c>
      <c r="G129" s="3" t="s">
        <v>21</v>
      </c>
      <c r="H129" s="3">
        <v>1086362994</v>
      </c>
      <c r="I129" s="3" t="s">
        <v>310</v>
      </c>
      <c r="J129" s="3">
        <v>98333941</v>
      </c>
      <c r="K129" s="3" t="s">
        <v>26</v>
      </c>
      <c r="L129" s="6">
        <v>6000000</v>
      </c>
      <c r="M129" s="6">
        <f t="shared" si="0"/>
        <v>2000000</v>
      </c>
      <c r="N129" s="6"/>
    </row>
    <row r="130" spans="1:14" ht="15.75" hidden="1" customHeight="1" x14ac:dyDescent="0.25">
      <c r="A130" s="3" t="s">
        <v>311</v>
      </c>
      <c r="B130" s="6">
        <v>8000000</v>
      </c>
      <c r="C130" s="3" t="s">
        <v>14</v>
      </c>
      <c r="D130" s="4">
        <v>45441</v>
      </c>
      <c r="E130" s="4">
        <v>45533</v>
      </c>
      <c r="F130" s="3" t="s">
        <v>312</v>
      </c>
      <c r="G130" s="3" t="s">
        <v>21</v>
      </c>
      <c r="H130" s="3">
        <v>12974849</v>
      </c>
      <c r="I130" s="3" t="s">
        <v>313</v>
      </c>
      <c r="J130" s="3">
        <v>59822566</v>
      </c>
      <c r="K130" s="3" t="s">
        <v>23</v>
      </c>
      <c r="L130" s="6">
        <v>6000000</v>
      </c>
      <c r="M130" s="6">
        <f t="shared" si="0"/>
        <v>2000000</v>
      </c>
      <c r="N130" s="6"/>
    </row>
    <row r="131" spans="1:14" ht="15.75" hidden="1" customHeight="1" x14ac:dyDescent="0.25">
      <c r="A131" s="3" t="s">
        <v>314</v>
      </c>
      <c r="B131" s="6">
        <v>6180000</v>
      </c>
      <c r="C131" s="3" t="s">
        <v>14</v>
      </c>
      <c r="D131" s="4">
        <v>45469</v>
      </c>
      <c r="E131" s="4">
        <v>45561</v>
      </c>
      <c r="F131" s="3" t="s">
        <v>20</v>
      </c>
      <c r="G131" s="3" t="s">
        <v>21</v>
      </c>
      <c r="H131" s="3">
        <v>59310524</v>
      </c>
      <c r="I131" s="3" t="s">
        <v>315</v>
      </c>
      <c r="J131" s="3">
        <v>98333941</v>
      </c>
      <c r="K131" s="3" t="s">
        <v>26</v>
      </c>
      <c r="L131" s="6">
        <v>6000000</v>
      </c>
      <c r="M131" s="6">
        <f t="shared" si="0"/>
        <v>180000</v>
      </c>
      <c r="N131" s="6"/>
    </row>
    <row r="132" spans="1:14" ht="15.75" hidden="1" customHeight="1" x14ac:dyDescent="0.25">
      <c r="A132" s="3" t="s">
        <v>316</v>
      </c>
      <c r="B132" s="6">
        <v>9230326</v>
      </c>
      <c r="C132" s="3" t="s">
        <v>14</v>
      </c>
      <c r="D132" s="4">
        <v>45551</v>
      </c>
      <c r="E132" s="4">
        <v>45565</v>
      </c>
      <c r="F132" s="3" t="s">
        <v>317</v>
      </c>
      <c r="G132" s="3" t="s">
        <v>21</v>
      </c>
      <c r="H132" s="3">
        <v>1061696504</v>
      </c>
      <c r="I132" s="3" t="s">
        <v>318</v>
      </c>
      <c r="J132" s="3">
        <v>111247705</v>
      </c>
      <c r="K132" s="3" t="s">
        <v>319</v>
      </c>
      <c r="L132" s="6">
        <v>9506000</v>
      </c>
      <c r="M132" s="6">
        <f t="shared" si="0"/>
        <v>-275674</v>
      </c>
      <c r="N132" s="6"/>
    </row>
    <row r="133" spans="1:14" ht="15.75" hidden="1" customHeight="1" x14ac:dyDescent="0.25">
      <c r="A133" s="3" t="s">
        <v>320</v>
      </c>
      <c r="B133" s="6">
        <v>14250000</v>
      </c>
      <c r="C133" s="3" t="s">
        <v>14</v>
      </c>
      <c r="D133" s="4">
        <v>45448</v>
      </c>
      <c r="E133" s="4">
        <v>45540</v>
      </c>
      <c r="F133" s="3" t="s">
        <v>201</v>
      </c>
      <c r="G133" s="3" t="s">
        <v>21</v>
      </c>
      <c r="H133" s="3">
        <v>1085345772</v>
      </c>
      <c r="I133" s="3" t="s">
        <v>321</v>
      </c>
      <c r="J133" s="3">
        <v>36950699</v>
      </c>
      <c r="K133" s="3" t="s">
        <v>58</v>
      </c>
      <c r="L133" s="6">
        <v>14250000</v>
      </c>
      <c r="M133" s="6">
        <f t="shared" si="0"/>
        <v>0</v>
      </c>
      <c r="N133" s="6"/>
    </row>
    <row r="134" spans="1:14" ht="15.75" hidden="1" customHeight="1" x14ac:dyDescent="0.25">
      <c r="A134" s="3" t="s">
        <v>322</v>
      </c>
      <c r="B134" s="6">
        <v>6000000</v>
      </c>
      <c r="C134" s="3" t="s">
        <v>14</v>
      </c>
      <c r="D134" s="4">
        <v>45449</v>
      </c>
      <c r="E134" s="4">
        <v>45541</v>
      </c>
      <c r="F134" s="3" t="s">
        <v>241</v>
      </c>
      <c r="G134" s="3" t="s">
        <v>21</v>
      </c>
      <c r="H134" s="3">
        <v>1085326198</v>
      </c>
      <c r="I134" s="3" t="s">
        <v>323</v>
      </c>
      <c r="J134" s="3">
        <v>98390119</v>
      </c>
      <c r="K134" s="3" t="s">
        <v>33</v>
      </c>
      <c r="L134" s="6">
        <v>6000000</v>
      </c>
      <c r="M134" s="6">
        <f t="shared" si="0"/>
        <v>0</v>
      </c>
      <c r="N134" s="6"/>
    </row>
    <row r="135" spans="1:14" ht="15.75" hidden="1" customHeight="1" x14ac:dyDescent="0.25">
      <c r="A135" s="3" t="s">
        <v>324</v>
      </c>
      <c r="B135" s="6">
        <v>6000000</v>
      </c>
      <c r="C135" s="3" t="s">
        <v>14</v>
      </c>
      <c r="D135" s="4">
        <v>45449</v>
      </c>
      <c r="E135" s="4">
        <v>45541</v>
      </c>
      <c r="F135" s="3" t="s">
        <v>286</v>
      </c>
      <c r="G135" s="3" t="s">
        <v>21</v>
      </c>
      <c r="H135" s="3">
        <v>1085271641</v>
      </c>
      <c r="I135" s="3" t="s">
        <v>325</v>
      </c>
      <c r="J135" s="3">
        <v>59822566</v>
      </c>
      <c r="K135" s="3" t="s">
        <v>23</v>
      </c>
      <c r="L135" s="6">
        <v>6000000</v>
      </c>
      <c r="M135" s="6">
        <f t="shared" si="0"/>
        <v>0</v>
      </c>
      <c r="N135" s="6"/>
    </row>
    <row r="136" spans="1:14" ht="15.75" hidden="1" customHeight="1" x14ac:dyDescent="0.25">
      <c r="A136" s="3" t="s">
        <v>326</v>
      </c>
      <c r="B136" s="6">
        <v>6000000</v>
      </c>
      <c r="C136" s="3" t="s">
        <v>14</v>
      </c>
      <c r="D136" s="4">
        <v>45449</v>
      </c>
      <c r="E136" s="4">
        <v>45541</v>
      </c>
      <c r="F136" s="3" t="s">
        <v>286</v>
      </c>
      <c r="G136" s="3" t="s">
        <v>21</v>
      </c>
      <c r="H136" s="3">
        <v>1085327677</v>
      </c>
      <c r="I136" s="3" t="s">
        <v>327</v>
      </c>
      <c r="J136" s="3">
        <v>98333941</v>
      </c>
      <c r="K136" s="3" t="s">
        <v>328</v>
      </c>
      <c r="L136" s="6">
        <v>6000000</v>
      </c>
      <c r="M136" s="6">
        <f t="shared" si="0"/>
        <v>0</v>
      </c>
      <c r="N136" s="6"/>
    </row>
    <row r="137" spans="1:14" ht="15.75" hidden="1" customHeight="1" x14ac:dyDescent="0.25">
      <c r="A137" s="3" t="s">
        <v>329</v>
      </c>
      <c r="B137" s="6">
        <v>6000000</v>
      </c>
      <c r="C137" s="3" t="s">
        <v>14</v>
      </c>
      <c r="D137" s="4">
        <v>45449</v>
      </c>
      <c r="E137" s="4">
        <v>45541</v>
      </c>
      <c r="F137" s="3" t="s">
        <v>286</v>
      </c>
      <c r="G137" s="3" t="s">
        <v>21</v>
      </c>
      <c r="H137" s="3">
        <v>1192717330</v>
      </c>
      <c r="I137" s="3" t="s">
        <v>330</v>
      </c>
      <c r="J137" s="3">
        <v>59822566</v>
      </c>
      <c r="K137" s="3" t="s">
        <v>23</v>
      </c>
      <c r="L137" s="6">
        <v>6000000</v>
      </c>
      <c r="M137" s="6">
        <f t="shared" si="0"/>
        <v>0</v>
      </c>
      <c r="N137" s="6"/>
    </row>
    <row r="138" spans="1:14" ht="15.75" hidden="1" customHeight="1" x14ac:dyDescent="0.25">
      <c r="A138" s="3" t="s">
        <v>331</v>
      </c>
      <c r="B138" s="6">
        <v>6000000</v>
      </c>
      <c r="C138" s="3" t="s">
        <v>14</v>
      </c>
      <c r="D138" s="4">
        <v>45449</v>
      </c>
      <c r="E138" s="4">
        <v>45541</v>
      </c>
      <c r="F138" s="3" t="s">
        <v>286</v>
      </c>
      <c r="G138" s="3" t="s">
        <v>21</v>
      </c>
      <c r="H138" s="3">
        <v>1137624011</v>
      </c>
      <c r="I138" s="3" t="s">
        <v>332</v>
      </c>
      <c r="J138" s="3">
        <v>98333941</v>
      </c>
      <c r="K138" s="3" t="s">
        <v>26</v>
      </c>
      <c r="L138" s="6">
        <v>6000000</v>
      </c>
      <c r="M138" s="6">
        <f t="shared" si="0"/>
        <v>0</v>
      </c>
      <c r="N138" s="6"/>
    </row>
    <row r="139" spans="1:14" ht="15.75" hidden="1" customHeight="1" x14ac:dyDescent="0.25">
      <c r="A139" s="3" t="s">
        <v>333</v>
      </c>
      <c r="B139" s="6">
        <v>6000000</v>
      </c>
      <c r="C139" s="3" t="s">
        <v>14</v>
      </c>
      <c r="D139" s="4">
        <v>45454</v>
      </c>
      <c r="E139" s="4">
        <v>45546</v>
      </c>
      <c r="F139" s="3" t="s">
        <v>286</v>
      </c>
      <c r="G139" s="3" t="s">
        <v>21</v>
      </c>
      <c r="H139" s="3">
        <v>1089243630</v>
      </c>
      <c r="I139" s="3" t="s">
        <v>334</v>
      </c>
      <c r="J139" s="3">
        <v>98390119</v>
      </c>
      <c r="K139" s="3" t="s">
        <v>33</v>
      </c>
      <c r="L139" s="6">
        <v>6000000</v>
      </c>
      <c r="M139" s="6">
        <f t="shared" si="0"/>
        <v>0</v>
      </c>
      <c r="N139" s="6"/>
    </row>
    <row r="140" spans="1:14" ht="15.75" hidden="1" customHeight="1" x14ac:dyDescent="0.25">
      <c r="A140" s="3" t="s">
        <v>335</v>
      </c>
      <c r="B140" s="6">
        <v>6000000</v>
      </c>
      <c r="C140" s="3" t="s">
        <v>14</v>
      </c>
      <c r="D140" s="4">
        <v>45454</v>
      </c>
      <c r="E140" s="4">
        <v>45546</v>
      </c>
      <c r="F140" s="3" t="s">
        <v>336</v>
      </c>
      <c r="G140" s="3" t="s">
        <v>21</v>
      </c>
      <c r="H140" s="3">
        <v>27211504</v>
      </c>
      <c r="I140" s="3" t="s">
        <v>337</v>
      </c>
      <c r="J140" s="3">
        <v>98390119</v>
      </c>
      <c r="K140" s="3" t="s">
        <v>33</v>
      </c>
      <c r="L140" s="6">
        <v>6000000</v>
      </c>
      <c r="M140" s="6">
        <f t="shared" si="0"/>
        <v>0</v>
      </c>
      <c r="N140" s="6"/>
    </row>
    <row r="141" spans="1:14" ht="15.75" hidden="1" customHeight="1" x14ac:dyDescent="0.25">
      <c r="A141" s="3" t="s">
        <v>338</v>
      </c>
      <c r="B141" s="6">
        <v>6000000</v>
      </c>
      <c r="C141" s="3" t="s">
        <v>14</v>
      </c>
      <c r="D141" s="4">
        <v>45456</v>
      </c>
      <c r="E141" s="4">
        <v>45548</v>
      </c>
      <c r="F141" s="3" t="s">
        <v>286</v>
      </c>
      <c r="G141" s="3" t="s">
        <v>21</v>
      </c>
      <c r="H141" s="3">
        <v>1085252263</v>
      </c>
      <c r="I141" s="3" t="s">
        <v>339</v>
      </c>
      <c r="J141" s="3">
        <v>59822566</v>
      </c>
      <c r="K141" s="3" t="s">
        <v>23</v>
      </c>
      <c r="L141" s="6">
        <v>6000000</v>
      </c>
      <c r="M141" s="6">
        <f t="shared" si="0"/>
        <v>0</v>
      </c>
      <c r="N141" s="6"/>
    </row>
    <row r="142" spans="1:14" ht="15.75" hidden="1" customHeight="1" x14ac:dyDescent="0.25">
      <c r="A142" s="3" t="s">
        <v>340</v>
      </c>
      <c r="B142" s="6">
        <v>6000000</v>
      </c>
      <c r="C142" s="3" t="s">
        <v>14</v>
      </c>
      <c r="D142" s="4">
        <v>45456</v>
      </c>
      <c r="E142" s="4">
        <v>45548</v>
      </c>
      <c r="F142" s="3" t="s">
        <v>286</v>
      </c>
      <c r="G142" s="3" t="s">
        <v>21</v>
      </c>
      <c r="H142" s="3">
        <v>36752202</v>
      </c>
      <c r="I142" s="3" t="s">
        <v>341</v>
      </c>
      <c r="J142" s="3">
        <v>36950699</v>
      </c>
      <c r="K142" s="3" t="s">
        <v>58</v>
      </c>
      <c r="L142" s="6">
        <v>6000000</v>
      </c>
      <c r="M142" s="6">
        <f t="shared" si="0"/>
        <v>0</v>
      </c>
      <c r="N142" s="6"/>
    </row>
    <row r="143" spans="1:14" ht="15.75" hidden="1" customHeight="1" x14ac:dyDescent="0.25">
      <c r="A143" s="3" t="s">
        <v>342</v>
      </c>
      <c r="B143" s="6">
        <v>14250000</v>
      </c>
      <c r="C143" s="3" t="s">
        <v>14</v>
      </c>
      <c r="D143" s="4">
        <v>45456</v>
      </c>
      <c r="E143" s="4">
        <v>45548</v>
      </c>
      <c r="F143" s="3" t="s">
        <v>201</v>
      </c>
      <c r="G143" s="3" t="s">
        <v>21</v>
      </c>
      <c r="H143" s="3">
        <v>1087422930</v>
      </c>
      <c r="I143" s="3" t="s">
        <v>343</v>
      </c>
      <c r="J143" s="3">
        <v>59822566</v>
      </c>
      <c r="K143" s="3" t="s">
        <v>23</v>
      </c>
      <c r="L143" s="6">
        <v>14250000</v>
      </c>
      <c r="M143" s="6">
        <f t="shared" si="0"/>
        <v>0</v>
      </c>
      <c r="N143" s="6"/>
    </row>
    <row r="144" spans="1:14" ht="15.75" hidden="1" customHeight="1" x14ac:dyDescent="0.25">
      <c r="A144" s="3" t="s">
        <v>344</v>
      </c>
      <c r="B144" s="6">
        <v>14476800</v>
      </c>
      <c r="C144" s="3" t="s">
        <v>14</v>
      </c>
      <c r="D144" s="4">
        <v>45457</v>
      </c>
      <c r="E144" s="4">
        <v>45549</v>
      </c>
      <c r="F144" s="3" t="s">
        <v>31</v>
      </c>
      <c r="G144" s="3" t="s">
        <v>21</v>
      </c>
      <c r="H144" s="3">
        <v>30732782</v>
      </c>
      <c r="I144" s="3" t="s">
        <v>345</v>
      </c>
      <c r="J144" s="3">
        <v>59822566</v>
      </c>
      <c r="K144" s="3" t="s">
        <v>23</v>
      </c>
      <c r="L144" s="6">
        <v>14476800</v>
      </c>
      <c r="M144" s="6">
        <f t="shared" si="0"/>
        <v>0</v>
      </c>
      <c r="N144" s="6"/>
    </row>
    <row r="145" spans="1:14" ht="15.75" hidden="1" customHeight="1" x14ac:dyDescent="0.25">
      <c r="A145" s="3" t="s">
        <v>346</v>
      </c>
      <c r="B145" s="6">
        <v>14250000</v>
      </c>
      <c r="C145" s="3" t="s">
        <v>14</v>
      </c>
      <c r="D145" s="4">
        <v>45457</v>
      </c>
      <c r="E145" s="4">
        <v>45549</v>
      </c>
      <c r="F145" s="3" t="s">
        <v>201</v>
      </c>
      <c r="G145" s="3" t="s">
        <v>21</v>
      </c>
      <c r="H145" s="3">
        <v>1233192618</v>
      </c>
      <c r="I145" s="3" t="s">
        <v>347</v>
      </c>
      <c r="J145" s="3">
        <v>98333941</v>
      </c>
      <c r="K145" s="3" t="s">
        <v>26</v>
      </c>
      <c r="L145" s="6">
        <v>14250000</v>
      </c>
      <c r="M145" s="6">
        <f t="shared" si="0"/>
        <v>0</v>
      </c>
      <c r="N145" s="6"/>
    </row>
    <row r="146" spans="1:14" ht="15.75" hidden="1" customHeight="1" x14ac:dyDescent="0.25">
      <c r="A146" s="3" t="s">
        <v>348</v>
      </c>
      <c r="B146" s="6">
        <v>18000000</v>
      </c>
      <c r="C146" s="3" t="s">
        <v>14</v>
      </c>
      <c r="D146" s="4">
        <v>45460</v>
      </c>
      <c r="E146" s="4">
        <v>45552</v>
      </c>
      <c r="F146" s="3" t="s">
        <v>140</v>
      </c>
      <c r="G146" s="3" t="s">
        <v>21</v>
      </c>
      <c r="H146" s="3">
        <v>1085337232</v>
      </c>
      <c r="I146" s="3" t="s">
        <v>349</v>
      </c>
      <c r="J146" s="3">
        <v>36950699</v>
      </c>
      <c r="K146" s="3" t="s">
        <v>58</v>
      </c>
      <c r="L146" s="6">
        <v>18000000</v>
      </c>
      <c r="M146" s="6">
        <f t="shared" si="0"/>
        <v>0</v>
      </c>
      <c r="N146" s="6"/>
    </row>
    <row r="147" spans="1:14" ht="15.75" hidden="1" customHeight="1" x14ac:dyDescent="0.25">
      <c r="A147" s="3" t="s">
        <v>350</v>
      </c>
      <c r="B147" s="6">
        <v>22500000</v>
      </c>
      <c r="C147" s="3" t="s">
        <v>14</v>
      </c>
      <c r="D147" s="4">
        <v>45461</v>
      </c>
      <c r="E147" s="4">
        <v>45553</v>
      </c>
      <c r="F147" s="3" t="s">
        <v>351</v>
      </c>
      <c r="G147" s="3" t="s">
        <v>21</v>
      </c>
      <c r="H147" s="3">
        <v>1085336362</v>
      </c>
      <c r="I147" s="3" t="s">
        <v>352</v>
      </c>
      <c r="J147" s="3">
        <v>98390119</v>
      </c>
      <c r="K147" s="3" t="s">
        <v>33</v>
      </c>
      <c r="L147" s="6">
        <v>22500000</v>
      </c>
      <c r="M147" s="6">
        <f t="shared" si="0"/>
        <v>0</v>
      </c>
      <c r="N147" s="6"/>
    </row>
    <row r="148" spans="1:14" ht="15.75" hidden="1" customHeight="1" x14ac:dyDescent="0.25">
      <c r="A148" s="3" t="s">
        <v>353</v>
      </c>
      <c r="B148" s="6">
        <v>18000000</v>
      </c>
      <c r="C148" s="3" t="s">
        <v>14</v>
      </c>
      <c r="D148" s="4">
        <v>45461</v>
      </c>
      <c r="E148" s="4">
        <v>45553</v>
      </c>
      <c r="F148" s="3" t="s">
        <v>140</v>
      </c>
      <c r="G148" s="3" t="s">
        <v>21</v>
      </c>
      <c r="H148" s="3">
        <v>36954410</v>
      </c>
      <c r="I148" s="3" t="s">
        <v>354</v>
      </c>
      <c r="J148" s="3">
        <v>98390119</v>
      </c>
      <c r="K148" s="3" t="s">
        <v>33</v>
      </c>
      <c r="L148" s="6">
        <v>18000000</v>
      </c>
      <c r="M148" s="6">
        <f t="shared" si="0"/>
        <v>0</v>
      </c>
      <c r="N148" s="6"/>
    </row>
    <row r="149" spans="1:14" ht="15.75" hidden="1" customHeight="1" x14ac:dyDescent="0.25">
      <c r="A149" s="3" t="s">
        <v>355</v>
      </c>
      <c r="B149" s="6">
        <v>6000000</v>
      </c>
      <c r="C149" s="3" t="s">
        <v>14</v>
      </c>
      <c r="D149" s="4">
        <v>45461</v>
      </c>
      <c r="E149" s="4">
        <v>45553</v>
      </c>
      <c r="F149" s="3" t="s">
        <v>90</v>
      </c>
      <c r="G149" s="3" t="s">
        <v>21</v>
      </c>
      <c r="H149" s="3">
        <v>1085295383</v>
      </c>
      <c r="I149" s="3" t="s">
        <v>356</v>
      </c>
      <c r="J149" s="3">
        <v>98390119</v>
      </c>
      <c r="K149" s="3" t="s">
        <v>33</v>
      </c>
      <c r="L149" s="6">
        <v>6000000</v>
      </c>
      <c r="M149" s="6">
        <f t="shared" si="0"/>
        <v>0</v>
      </c>
      <c r="N149" s="6"/>
    </row>
    <row r="150" spans="1:14" ht="15.75" hidden="1" customHeight="1" x14ac:dyDescent="0.25">
      <c r="A150" s="3" t="s">
        <v>357</v>
      </c>
      <c r="B150" s="6">
        <v>18000000</v>
      </c>
      <c r="C150" s="3" t="s">
        <v>14</v>
      </c>
      <c r="D150" s="4">
        <v>45461</v>
      </c>
      <c r="E150" s="4">
        <v>45553</v>
      </c>
      <c r="F150" s="3" t="s">
        <v>358</v>
      </c>
      <c r="G150" s="3" t="s">
        <v>21</v>
      </c>
      <c r="H150" s="3">
        <v>79724257</v>
      </c>
      <c r="I150" s="3" t="s">
        <v>359</v>
      </c>
      <c r="J150" s="3">
        <v>36950699</v>
      </c>
      <c r="K150" s="3" t="s">
        <v>58</v>
      </c>
      <c r="L150" s="6">
        <v>18000000</v>
      </c>
      <c r="M150" s="6">
        <f t="shared" si="0"/>
        <v>0</v>
      </c>
      <c r="N150" s="6"/>
    </row>
    <row r="151" spans="1:14" ht="15.75" hidden="1" customHeight="1" x14ac:dyDescent="0.25">
      <c r="A151" s="3" t="s">
        <v>360</v>
      </c>
      <c r="B151" s="6">
        <v>22500000</v>
      </c>
      <c r="C151" s="3" t="s">
        <v>14</v>
      </c>
      <c r="D151" s="4">
        <v>45462</v>
      </c>
      <c r="E151" s="4">
        <v>45554</v>
      </c>
      <c r="F151" s="3" t="s">
        <v>116</v>
      </c>
      <c r="G151" s="3" t="s">
        <v>21</v>
      </c>
      <c r="H151" s="3">
        <v>1085345430</v>
      </c>
      <c r="I151" s="3" t="s">
        <v>361</v>
      </c>
      <c r="J151" s="3">
        <v>98333941</v>
      </c>
      <c r="K151" s="3" t="s">
        <v>26</v>
      </c>
      <c r="L151" s="6">
        <v>22500000</v>
      </c>
      <c r="M151" s="6">
        <f t="shared" si="0"/>
        <v>0</v>
      </c>
      <c r="N151" s="6"/>
    </row>
    <row r="152" spans="1:14" ht="15.75" hidden="1" customHeight="1" x14ac:dyDescent="0.25">
      <c r="A152" s="3" t="s">
        <v>362</v>
      </c>
      <c r="B152" s="6">
        <v>18000000</v>
      </c>
      <c r="C152" s="3" t="s">
        <v>14</v>
      </c>
      <c r="D152" s="4">
        <v>45462</v>
      </c>
      <c r="E152" s="4">
        <v>45544</v>
      </c>
      <c r="F152" s="3" t="s">
        <v>363</v>
      </c>
      <c r="G152" s="3" t="s">
        <v>21</v>
      </c>
      <c r="H152" s="3">
        <v>1010010954</v>
      </c>
      <c r="I152" s="3" t="s">
        <v>364</v>
      </c>
      <c r="J152" s="3">
        <v>59822566</v>
      </c>
      <c r="K152" s="3" t="s">
        <v>23</v>
      </c>
      <c r="L152" s="6">
        <v>18000000</v>
      </c>
      <c r="M152" s="6">
        <f t="shared" si="0"/>
        <v>0</v>
      </c>
      <c r="N152" s="6"/>
    </row>
    <row r="153" spans="1:14" ht="15.75" hidden="1" customHeight="1" x14ac:dyDescent="0.25">
      <c r="A153" s="3" t="s">
        <v>365</v>
      </c>
      <c r="B153" s="6">
        <v>18000000</v>
      </c>
      <c r="C153" s="3" t="s">
        <v>14</v>
      </c>
      <c r="D153" s="4">
        <v>45462</v>
      </c>
      <c r="E153" s="4">
        <v>45554</v>
      </c>
      <c r="F153" s="3" t="s">
        <v>366</v>
      </c>
      <c r="G153" s="3" t="s">
        <v>21</v>
      </c>
      <c r="H153" s="3">
        <v>59836926</v>
      </c>
      <c r="I153" s="3" t="s">
        <v>367</v>
      </c>
      <c r="J153" s="3">
        <v>98390119</v>
      </c>
      <c r="K153" s="3" t="s">
        <v>33</v>
      </c>
      <c r="L153" s="6">
        <v>18000000</v>
      </c>
      <c r="M153" s="6">
        <f t="shared" si="0"/>
        <v>0</v>
      </c>
      <c r="N153" s="6"/>
    </row>
    <row r="154" spans="1:14" ht="15.75" hidden="1" customHeight="1" x14ac:dyDescent="0.25">
      <c r="A154" s="3" t="s">
        <v>368</v>
      </c>
      <c r="B154" s="6">
        <v>18000000</v>
      </c>
      <c r="C154" s="3" t="s">
        <v>14</v>
      </c>
      <c r="D154" s="4">
        <v>45462</v>
      </c>
      <c r="E154" s="4">
        <v>45554</v>
      </c>
      <c r="F154" s="3" t="s">
        <v>140</v>
      </c>
      <c r="G154" s="3" t="s">
        <v>21</v>
      </c>
      <c r="H154" s="3">
        <v>1085248939</v>
      </c>
      <c r="I154" s="3" t="s">
        <v>369</v>
      </c>
      <c r="J154" s="3">
        <v>98333941</v>
      </c>
      <c r="K154" s="3" t="s">
        <v>26</v>
      </c>
      <c r="L154" s="6">
        <v>18000000</v>
      </c>
      <c r="M154" s="6">
        <f t="shared" si="0"/>
        <v>0</v>
      </c>
      <c r="N154" s="6"/>
    </row>
    <row r="155" spans="1:14" ht="15.75" hidden="1" customHeight="1" x14ac:dyDescent="0.25">
      <c r="A155" s="3" t="s">
        <v>370</v>
      </c>
      <c r="B155" s="6">
        <v>22500000</v>
      </c>
      <c r="C155" s="3" t="s">
        <v>14</v>
      </c>
      <c r="D155" s="4">
        <v>45462</v>
      </c>
      <c r="E155" s="4">
        <v>45554</v>
      </c>
      <c r="F155" s="3" t="s">
        <v>371</v>
      </c>
      <c r="G155" s="3" t="s">
        <v>21</v>
      </c>
      <c r="H155" s="3">
        <v>87065647</v>
      </c>
      <c r="I155" s="3" t="s">
        <v>372</v>
      </c>
      <c r="J155" s="3">
        <v>36950699</v>
      </c>
      <c r="K155" s="3" t="s">
        <v>58</v>
      </c>
      <c r="L155" s="6">
        <v>22500000</v>
      </c>
      <c r="M155" s="6">
        <f t="shared" si="0"/>
        <v>0</v>
      </c>
      <c r="N155" s="6"/>
    </row>
    <row r="156" spans="1:14" ht="15.75" hidden="1" customHeight="1" x14ac:dyDescent="0.25">
      <c r="A156" s="3" t="s">
        <v>373</v>
      </c>
      <c r="B156" s="6">
        <v>6000000</v>
      </c>
      <c r="C156" s="3" t="s">
        <v>14</v>
      </c>
      <c r="D156" s="4">
        <v>45462</v>
      </c>
      <c r="E156" s="4">
        <v>45554</v>
      </c>
      <c r="F156" s="3" t="s">
        <v>286</v>
      </c>
      <c r="G156" s="3" t="s">
        <v>21</v>
      </c>
      <c r="H156" s="3">
        <v>1088799034</v>
      </c>
      <c r="I156" s="3" t="s">
        <v>374</v>
      </c>
      <c r="J156" s="3">
        <v>98390119</v>
      </c>
      <c r="K156" s="3" t="s">
        <v>33</v>
      </c>
      <c r="L156" s="6">
        <v>6000000</v>
      </c>
      <c r="M156" s="6">
        <f t="shared" si="0"/>
        <v>0</v>
      </c>
      <c r="N156" s="6"/>
    </row>
    <row r="157" spans="1:14" ht="15.75" hidden="1" customHeight="1" x14ac:dyDescent="0.25">
      <c r="A157" s="3" t="s">
        <v>375</v>
      </c>
      <c r="B157" s="6">
        <v>6000000</v>
      </c>
      <c r="C157" s="3" t="s">
        <v>14</v>
      </c>
      <c r="D157" s="4">
        <v>45462</v>
      </c>
      <c r="E157" s="4">
        <v>45554</v>
      </c>
      <c r="F157" s="3" t="s">
        <v>376</v>
      </c>
      <c r="G157" s="3" t="s">
        <v>21</v>
      </c>
      <c r="H157" s="3">
        <v>59314601</v>
      </c>
      <c r="I157" s="3" t="s">
        <v>377</v>
      </c>
      <c r="J157" s="3">
        <v>59822566</v>
      </c>
      <c r="K157" s="3" t="s">
        <v>23</v>
      </c>
      <c r="L157" s="6">
        <v>6000000</v>
      </c>
      <c r="M157" s="6">
        <f t="shared" si="0"/>
        <v>0</v>
      </c>
      <c r="N157" s="6"/>
    </row>
    <row r="158" spans="1:14" ht="15.75" hidden="1" customHeight="1" x14ac:dyDescent="0.25">
      <c r="A158" s="3" t="s">
        <v>378</v>
      </c>
      <c r="B158" s="6">
        <v>6000000</v>
      </c>
      <c r="C158" s="3" t="s">
        <v>14</v>
      </c>
      <c r="D158" s="4">
        <v>45462</v>
      </c>
      <c r="E158" s="4">
        <v>45554</v>
      </c>
      <c r="F158" s="3" t="s">
        <v>286</v>
      </c>
      <c r="G158" s="3" t="s">
        <v>21</v>
      </c>
      <c r="H158" s="3">
        <v>1085331508</v>
      </c>
      <c r="I158" s="3" t="s">
        <v>379</v>
      </c>
      <c r="J158" s="3">
        <v>98390119</v>
      </c>
      <c r="K158" s="3" t="s">
        <v>33</v>
      </c>
      <c r="L158" s="6">
        <v>6000000</v>
      </c>
      <c r="M158" s="6">
        <f t="shared" si="0"/>
        <v>0</v>
      </c>
      <c r="N158" s="6"/>
    </row>
    <row r="159" spans="1:14" ht="15.75" hidden="1" customHeight="1" x14ac:dyDescent="0.25">
      <c r="A159" s="3" t="s">
        <v>380</v>
      </c>
      <c r="B159" s="6">
        <v>6000000</v>
      </c>
      <c r="C159" s="3" t="s">
        <v>14</v>
      </c>
      <c r="D159" s="4">
        <v>45463</v>
      </c>
      <c r="E159" s="4">
        <v>45555</v>
      </c>
      <c r="F159" s="3" t="s">
        <v>20</v>
      </c>
      <c r="G159" s="3" t="s">
        <v>21</v>
      </c>
      <c r="H159" s="3">
        <v>1233189234</v>
      </c>
      <c r="I159" s="3" t="s">
        <v>381</v>
      </c>
      <c r="J159" s="3">
        <v>36950699</v>
      </c>
      <c r="K159" s="3" t="s">
        <v>58</v>
      </c>
      <c r="L159" s="6">
        <v>6000000</v>
      </c>
      <c r="M159" s="6">
        <f t="shared" si="0"/>
        <v>0</v>
      </c>
      <c r="N159" s="6"/>
    </row>
    <row r="160" spans="1:14" ht="15.75" hidden="1" customHeight="1" x14ac:dyDescent="0.25">
      <c r="A160" s="3" t="s">
        <v>382</v>
      </c>
      <c r="B160" s="6">
        <v>14476800</v>
      </c>
      <c r="C160" s="3" t="s">
        <v>14</v>
      </c>
      <c r="D160" s="4">
        <v>45463</v>
      </c>
      <c r="E160" s="4">
        <v>45555</v>
      </c>
      <c r="F160" s="3" t="s">
        <v>149</v>
      </c>
      <c r="G160" s="3" t="s">
        <v>21</v>
      </c>
      <c r="H160" s="3">
        <v>59314451</v>
      </c>
      <c r="I160" s="3" t="s">
        <v>383</v>
      </c>
      <c r="J160" s="3">
        <v>59822566</v>
      </c>
      <c r="K160" s="3" t="s">
        <v>23</v>
      </c>
      <c r="L160" s="6">
        <v>14476800</v>
      </c>
      <c r="M160" s="6">
        <f t="shared" si="0"/>
        <v>0</v>
      </c>
      <c r="N160" s="6"/>
    </row>
    <row r="161" spans="1:14" ht="15.75" hidden="1" customHeight="1" x14ac:dyDescent="0.25">
      <c r="A161" s="3" t="s">
        <v>384</v>
      </c>
      <c r="B161" s="6">
        <v>14250000</v>
      </c>
      <c r="C161" s="3" t="s">
        <v>14</v>
      </c>
      <c r="D161" s="4">
        <v>45463</v>
      </c>
      <c r="E161" s="4">
        <v>45555</v>
      </c>
      <c r="F161" s="3" t="s">
        <v>201</v>
      </c>
      <c r="G161" s="3" t="s">
        <v>21</v>
      </c>
      <c r="H161" s="3">
        <v>1085263018</v>
      </c>
      <c r="I161" s="3" t="s">
        <v>385</v>
      </c>
      <c r="J161" s="3">
        <v>59822566</v>
      </c>
      <c r="K161" s="3" t="s">
        <v>23</v>
      </c>
      <c r="L161" s="6">
        <v>14250000</v>
      </c>
      <c r="M161" s="6">
        <f t="shared" si="0"/>
        <v>0</v>
      </c>
      <c r="N161" s="6"/>
    </row>
    <row r="162" spans="1:14" ht="15.75" hidden="1" customHeight="1" x14ac:dyDescent="0.25">
      <c r="A162" s="3" t="s">
        <v>386</v>
      </c>
      <c r="B162" s="6">
        <v>6000000</v>
      </c>
      <c r="C162" s="3" t="s">
        <v>14</v>
      </c>
      <c r="D162" s="4">
        <v>45464</v>
      </c>
      <c r="E162" s="4">
        <v>45556</v>
      </c>
      <c r="F162" s="3" t="s">
        <v>286</v>
      </c>
      <c r="G162" s="3" t="s">
        <v>21</v>
      </c>
      <c r="H162" s="3">
        <v>1193385397</v>
      </c>
      <c r="I162" s="3" t="s">
        <v>387</v>
      </c>
      <c r="J162" s="3">
        <v>98390119</v>
      </c>
      <c r="K162" s="3" t="s">
        <v>33</v>
      </c>
      <c r="L162" s="6">
        <v>6000000</v>
      </c>
      <c r="M162" s="6">
        <f t="shared" si="0"/>
        <v>0</v>
      </c>
      <c r="N162" s="6"/>
    </row>
    <row r="163" spans="1:14" ht="15.75" hidden="1" customHeight="1" x14ac:dyDescent="0.25">
      <c r="A163" s="3" t="s">
        <v>388</v>
      </c>
      <c r="B163" s="6">
        <v>6000000</v>
      </c>
      <c r="C163" s="3" t="s">
        <v>14</v>
      </c>
      <c r="D163" s="4">
        <v>45464</v>
      </c>
      <c r="E163" s="4">
        <v>45556</v>
      </c>
      <c r="F163" s="3" t="s">
        <v>389</v>
      </c>
      <c r="G163" s="3" t="s">
        <v>21</v>
      </c>
      <c r="H163" s="3">
        <v>1144206777</v>
      </c>
      <c r="I163" s="3" t="s">
        <v>390</v>
      </c>
      <c r="J163" s="3">
        <v>36950699</v>
      </c>
      <c r="K163" s="3" t="s">
        <v>58</v>
      </c>
      <c r="L163" s="6">
        <v>6000000</v>
      </c>
      <c r="M163" s="6">
        <f t="shared" si="0"/>
        <v>0</v>
      </c>
      <c r="N163" s="6"/>
    </row>
    <row r="164" spans="1:14" ht="15.75" hidden="1" customHeight="1" x14ac:dyDescent="0.25">
      <c r="A164" s="3" t="s">
        <v>391</v>
      </c>
      <c r="B164" s="6">
        <v>18000000</v>
      </c>
      <c r="C164" s="3" t="s">
        <v>14</v>
      </c>
      <c r="D164" s="4">
        <v>45464</v>
      </c>
      <c r="E164" s="4">
        <v>45556</v>
      </c>
      <c r="F164" s="3" t="s">
        <v>140</v>
      </c>
      <c r="G164" s="3" t="s">
        <v>21</v>
      </c>
      <c r="H164" s="3">
        <v>1085253062</v>
      </c>
      <c r="I164" s="3" t="s">
        <v>392</v>
      </c>
      <c r="J164" s="3">
        <v>59822566</v>
      </c>
      <c r="K164" s="3" t="s">
        <v>23</v>
      </c>
      <c r="L164" s="6">
        <v>18000000</v>
      </c>
      <c r="M164" s="6">
        <f t="shared" si="0"/>
        <v>0</v>
      </c>
      <c r="N164" s="6"/>
    </row>
    <row r="165" spans="1:14" ht="15.75" hidden="1" customHeight="1" x14ac:dyDescent="0.25">
      <c r="A165" s="3" t="s">
        <v>393</v>
      </c>
      <c r="B165" s="6">
        <v>14476800</v>
      </c>
      <c r="C165" s="3" t="s">
        <v>14</v>
      </c>
      <c r="D165" s="4">
        <v>45464</v>
      </c>
      <c r="E165" s="4">
        <v>45556</v>
      </c>
      <c r="F165" s="3" t="s">
        <v>31</v>
      </c>
      <c r="G165" s="3" t="s">
        <v>21</v>
      </c>
      <c r="H165" s="3">
        <v>1087643211</v>
      </c>
      <c r="I165" s="3" t="s">
        <v>394</v>
      </c>
      <c r="J165" s="3">
        <v>36950699</v>
      </c>
      <c r="K165" s="3" t="s">
        <v>58</v>
      </c>
      <c r="L165" s="6">
        <v>14476800</v>
      </c>
      <c r="M165" s="6">
        <f t="shared" si="0"/>
        <v>0</v>
      </c>
      <c r="N165" s="6"/>
    </row>
    <row r="166" spans="1:14" ht="15.75" hidden="1" customHeight="1" x14ac:dyDescent="0.25">
      <c r="A166" s="3" t="s">
        <v>395</v>
      </c>
      <c r="B166" s="6">
        <v>14476800</v>
      </c>
      <c r="C166" s="3" t="s">
        <v>14</v>
      </c>
      <c r="D166" s="4">
        <v>45464</v>
      </c>
      <c r="E166" s="4">
        <v>45556</v>
      </c>
      <c r="F166" s="3" t="s">
        <v>31</v>
      </c>
      <c r="G166" s="3" t="s">
        <v>21</v>
      </c>
      <c r="H166" s="3">
        <v>12983807</v>
      </c>
      <c r="I166" s="3" t="s">
        <v>396</v>
      </c>
      <c r="J166" s="3">
        <v>98390119</v>
      </c>
      <c r="K166" s="3" t="s">
        <v>33</v>
      </c>
      <c r="L166" s="6">
        <v>14476800</v>
      </c>
      <c r="M166" s="6">
        <f t="shared" si="0"/>
        <v>0</v>
      </c>
      <c r="N166" s="6"/>
    </row>
    <row r="167" spans="1:14" ht="15.75" hidden="1" customHeight="1" x14ac:dyDescent="0.25">
      <c r="A167" s="3" t="s">
        <v>397</v>
      </c>
      <c r="B167" s="6">
        <v>18000000</v>
      </c>
      <c r="C167" s="3" t="s">
        <v>14</v>
      </c>
      <c r="D167" s="4">
        <v>45464</v>
      </c>
      <c r="E167" s="4">
        <v>45556</v>
      </c>
      <c r="F167" s="3" t="s">
        <v>358</v>
      </c>
      <c r="G167" s="3" t="s">
        <v>21</v>
      </c>
      <c r="H167" s="3">
        <v>1085292185</v>
      </c>
      <c r="I167" s="3" t="s">
        <v>398</v>
      </c>
      <c r="J167" s="3">
        <v>98390119</v>
      </c>
      <c r="K167" s="3" t="s">
        <v>33</v>
      </c>
      <c r="L167" s="6">
        <v>18000000</v>
      </c>
      <c r="M167" s="6">
        <f t="shared" si="0"/>
        <v>0</v>
      </c>
      <c r="N167" s="6"/>
    </row>
    <row r="168" spans="1:14" ht="15.75" hidden="1" customHeight="1" x14ac:dyDescent="0.25">
      <c r="A168" s="3" t="s">
        <v>399</v>
      </c>
      <c r="B168" s="6">
        <v>18000000</v>
      </c>
      <c r="C168" s="3" t="s">
        <v>14</v>
      </c>
      <c r="D168" s="4">
        <v>45467</v>
      </c>
      <c r="E168" s="4">
        <v>45559</v>
      </c>
      <c r="F168" s="3" t="s">
        <v>358</v>
      </c>
      <c r="G168" s="3" t="s">
        <v>21</v>
      </c>
      <c r="H168" s="3">
        <v>27109314</v>
      </c>
      <c r="I168" s="3" t="s">
        <v>400</v>
      </c>
      <c r="J168" s="3">
        <v>98390119</v>
      </c>
      <c r="K168" s="3" t="s">
        <v>33</v>
      </c>
      <c r="L168" s="6">
        <v>18000000</v>
      </c>
      <c r="M168" s="6">
        <f t="shared" si="0"/>
        <v>0</v>
      </c>
      <c r="N168" s="6"/>
    </row>
    <row r="169" spans="1:14" ht="15.75" hidden="1" customHeight="1" x14ac:dyDescent="0.25">
      <c r="A169" s="3" t="s">
        <v>401</v>
      </c>
      <c r="B169" s="6">
        <v>18000000</v>
      </c>
      <c r="C169" s="3" t="s">
        <v>14</v>
      </c>
      <c r="D169" s="4">
        <v>45467</v>
      </c>
      <c r="E169" s="4">
        <v>45559</v>
      </c>
      <c r="F169" s="3" t="s">
        <v>358</v>
      </c>
      <c r="G169" s="3" t="s">
        <v>21</v>
      </c>
      <c r="H169" s="3">
        <v>1085246134</v>
      </c>
      <c r="I169" s="3" t="s">
        <v>402</v>
      </c>
      <c r="J169" s="3">
        <v>98333941</v>
      </c>
      <c r="K169" s="3" t="s">
        <v>26</v>
      </c>
      <c r="L169" s="6">
        <v>18000000</v>
      </c>
      <c r="M169" s="6">
        <f t="shared" si="0"/>
        <v>0</v>
      </c>
      <c r="N169" s="6"/>
    </row>
    <row r="170" spans="1:14" ht="15.75" hidden="1" customHeight="1" x14ac:dyDescent="0.25">
      <c r="A170" s="3" t="s">
        <v>403</v>
      </c>
      <c r="B170" s="6">
        <v>6000000</v>
      </c>
      <c r="C170" s="3" t="s">
        <v>14</v>
      </c>
      <c r="D170" s="4">
        <v>45468</v>
      </c>
      <c r="E170" s="4">
        <v>45560</v>
      </c>
      <c r="F170" s="3" t="s">
        <v>286</v>
      </c>
      <c r="G170" s="3" t="s">
        <v>21</v>
      </c>
      <c r="H170" s="3">
        <v>1081272025</v>
      </c>
      <c r="I170" s="3" t="s">
        <v>404</v>
      </c>
      <c r="J170" s="3">
        <v>98390119</v>
      </c>
      <c r="K170" s="3" t="s">
        <v>33</v>
      </c>
      <c r="L170" s="6">
        <v>6000000</v>
      </c>
      <c r="M170" s="6">
        <f t="shared" si="0"/>
        <v>0</v>
      </c>
      <c r="N170" s="6"/>
    </row>
    <row r="171" spans="1:14" ht="15.75" hidden="1" customHeight="1" x14ac:dyDescent="0.25">
      <c r="A171" s="3" t="s">
        <v>405</v>
      </c>
      <c r="B171" s="6">
        <v>6000000</v>
      </c>
      <c r="C171" s="3" t="s">
        <v>14</v>
      </c>
      <c r="D171" s="4">
        <v>45469</v>
      </c>
      <c r="E171" s="4">
        <v>45561</v>
      </c>
      <c r="F171" s="3" t="s">
        <v>20</v>
      </c>
      <c r="G171" s="3" t="s">
        <v>21</v>
      </c>
      <c r="H171" s="3">
        <v>59833702</v>
      </c>
      <c r="I171" s="3" t="s">
        <v>406</v>
      </c>
      <c r="J171" s="3">
        <v>36950699</v>
      </c>
      <c r="K171" s="3" t="s">
        <v>58</v>
      </c>
      <c r="L171" s="6">
        <v>6000000</v>
      </c>
      <c r="M171" s="6">
        <f t="shared" si="0"/>
        <v>0</v>
      </c>
      <c r="N171" s="6"/>
    </row>
    <row r="172" spans="1:14" ht="15.75" hidden="1" customHeight="1" x14ac:dyDescent="0.25">
      <c r="A172" s="3" t="s">
        <v>407</v>
      </c>
      <c r="B172" s="6">
        <v>24264774</v>
      </c>
      <c r="C172" s="3" t="s">
        <v>14</v>
      </c>
      <c r="D172" s="4">
        <v>45408</v>
      </c>
      <c r="E172" s="4">
        <v>45428</v>
      </c>
      <c r="F172" s="3" t="s">
        <v>408</v>
      </c>
      <c r="G172" s="3" t="s">
        <v>21</v>
      </c>
      <c r="H172" s="3">
        <v>98383086</v>
      </c>
      <c r="I172" s="3" t="s">
        <v>409</v>
      </c>
      <c r="J172" s="3">
        <v>59826831</v>
      </c>
      <c r="K172" s="3" t="s">
        <v>410</v>
      </c>
      <c r="L172" s="6">
        <v>25496760</v>
      </c>
      <c r="M172" s="6">
        <f t="shared" si="0"/>
        <v>-1231986</v>
      </c>
      <c r="N172" s="6"/>
    </row>
    <row r="173" spans="1:14" ht="15.75" hidden="1" customHeight="1" x14ac:dyDescent="0.25">
      <c r="A173" s="3" t="s">
        <v>411</v>
      </c>
      <c r="B173" s="6">
        <v>22500000</v>
      </c>
      <c r="C173" s="3" t="s">
        <v>14</v>
      </c>
      <c r="D173" s="4">
        <v>45470</v>
      </c>
      <c r="E173" s="4">
        <v>45562</v>
      </c>
      <c r="F173" s="3" t="s">
        <v>116</v>
      </c>
      <c r="G173" s="3" t="s">
        <v>21</v>
      </c>
      <c r="H173" s="3">
        <v>1151934571</v>
      </c>
      <c r="I173" s="3" t="s">
        <v>412</v>
      </c>
      <c r="J173" s="3">
        <v>36950699</v>
      </c>
      <c r="K173" s="3" t="s">
        <v>58</v>
      </c>
      <c r="L173" s="6">
        <v>22500000</v>
      </c>
      <c r="M173" s="6">
        <f t="shared" si="0"/>
        <v>0</v>
      </c>
      <c r="N173" s="6"/>
    </row>
    <row r="174" spans="1:14" ht="15.75" hidden="1" customHeight="1" x14ac:dyDescent="0.25">
      <c r="A174" s="3" t="s">
        <v>413</v>
      </c>
      <c r="B174" s="6">
        <v>22500000</v>
      </c>
      <c r="C174" s="3" t="s">
        <v>14</v>
      </c>
      <c r="D174" s="4">
        <v>45471</v>
      </c>
      <c r="E174" s="4">
        <v>45563</v>
      </c>
      <c r="F174" s="3" t="s">
        <v>351</v>
      </c>
      <c r="G174" s="3" t="s">
        <v>21</v>
      </c>
      <c r="H174" s="3">
        <v>12961407</v>
      </c>
      <c r="I174" s="3" t="s">
        <v>414</v>
      </c>
      <c r="J174" s="3">
        <v>59822566</v>
      </c>
      <c r="K174" s="3" t="s">
        <v>23</v>
      </c>
      <c r="L174" s="6">
        <v>22500000</v>
      </c>
      <c r="M174" s="6">
        <f t="shared" si="0"/>
        <v>0</v>
      </c>
      <c r="N174" s="6"/>
    </row>
    <row r="175" spans="1:14" ht="15.75" hidden="1" customHeight="1" x14ac:dyDescent="0.25">
      <c r="A175" s="3" t="s">
        <v>415</v>
      </c>
      <c r="B175" s="6">
        <v>4000000</v>
      </c>
      <c r="C175" s="3" t="s">
        <v>14</v>
      </c>
      <c r="D175" s="4">
        <v>45475</v>
      </c>
      <c r="E175" s="4">
        <v>45537</v>
      </c>
      <c r="F175" s="3" t="s">
        <v>416</v>
      </c>
      <c r="G175" s="3" t="s">
        <v>21</v>
      </c>
      <c r="H175" s="3">
        <v>1085338232</v>
      </c>
      <c r="I175" s="3" t="s">
        <v>417</v>
      </c>
      <c r="J175" s="3">
        <v>98333941</v>
      </c>
      <c r="K175" s="3" t="s">
        <v>26</v>
      </c>
      <c r="L175" s="6">
        <v>4000000</v>
      </c>
      <c r="M175" s="6">
        <f t="shared" si="0"/>
        <v>0</v>
      </c>
      <c r="N175" s="6"/>
    </row>
    <row r="176" spans="1:14" ht="15.75" hidden="1" customHeight="1" x14ac:dyDescent="0.25">
      <c r="A176" s="3" t="s">
        <v>418</v>
      </c>
      <c r="B176" s="6">
        <v>4000000</v>
      </c>
      <c r="C176" s="3" t="s">
        <v>14</v>
      </c>
      <c r="D176" s="4">
        <v>45475</v>
      </c>
      <c r="E176" s="4">
        <v>45537</v>
      </c>
      <c r="F176" s="3" t="s">
        <v>419</v>
      </c>
      <c r="G176" s="3" t="s">
        <v>21</v>
      </c>
      <c r="H176" s="3">
        <v>59311646</v>
      </c>
      <c r="I176" s="3" t="s">
        <v>420</v>
      </c>
      <c r="J176" s="3">
        <v>98390119</v>
      </c>
      <c r="K176" s="3" t="s">
        <v>33</v>
      </c>
      <c r="L176" s="6">
        <v>4000000</v>
      </c>
      <c r="M176" s="6">
        <f t="shared" si="0"/>
        <v>0</v>
      </c>
      <c r="N176" s="6"/>
    </row>
    <row r="177" spans="1:14" ht="15.75" hidden="1" customHeight="1" x14ac:dyDescent="0.25">
      <c r="A177" s="3" t="s">
        <v>421</v>
      </c>
      <c r="B177" s="6">
        <v>4000000</v>
      </c>
      <c r="C177" s="3" t="s">
        <v>14</v>
      </c>
      <c r="D177" s="4">
        <v>45475</v>
      </c>
      <c r="E177" s="4">
        <v>45537</v>
      </c>
      <c r="F177" s="3" t="s">
        <v>419</v>
      </c>
      <c r="G177" s="3" t="s">
        <v>21</v>
      </c>
      <c r="H177" s="3">
        <v>1081052090</v>
      </c>
      <c r="I177" s="3" t="s">
        <v>422</v>
      </c>
      <c r="J177" s="3">
        <v>59822566</v>
      </c>
      <c r="K177" s="3" t="s">
        <v>23</v>
      </c>
      <c r="L177" s="6">
        <v>4000000</v>
      </c>
      <c r="M177" s="6">
        <f t="shared" si="0"/>
        <v>0</v>
      </c>
      <c r="N177" s="6"/>
    </row>
    <row r="178" spans="1:14" ht="15.75" hidden="1" customHeight="1" x14ac:dyDescent="0.25">
      <c r="A178" s="3" t="s">
        <v>423</v>
      </c>
      <c r="B178" s="6">
        <v>4000000</v>
      </c>
      <c r="C178" s="3" t="s">
        <v>14</v>
      </c>
      <c r="D178" s="4">
        <v>45475</v>
      </c>
      <c r="E178" s="4">
        <v>45537</v>
      </c>
      <c r="F178" s="3" t="s">
        <v>424</v>
      </c>
      <c r="G178" s="3" t="s">
        <v>21</v>
      </c>
      <c r="H178" s="3">
        <v>13072447</v>
      </c>
      <c r="I178" s="3" t="s">
        <v>425</v>
      </c>
      <c r="J178" s="3">
        <v>98390119</v>
      </c>
      <c r="K178" s="3" t="s">
        <v>33</v>
      </c>
      <c r="L178" s="6">
        <v>4000000</v>
      </c>
      <c r="M178" s="6">
        <f t="shared" si="0"/>
        <v>0</v>
      </c>
      <c r="N178" s="6"/>
    </row>
    <row r="179" spans="1:14" ht="15.75" hidden="1" customHeight="1" x14ac:dyDescent="0.25">
      <c r="A179" s="3" t="s">
        <v>426</v>
      </c>
      <c r="B179" s="6">
        <v>4000000</v>
      </c>
      <c r="C179" s="3" t="s">
        <v>14</v>
      </c>
      <c r="D179" s="4">
        <v>45475</v>
      </c>
      <c r="E179" s="4">
        <v>45537</v>
      </c>
      <c r="F179" s="3" t="s">
        <v>427</v>
      </c>
      <c r="G179" s="3" t="s">
        <v>21</v>
      </c>
      <c r="H179" s="3">
        <v>1085289798</v>
      </c>
      <c r="I179" s="3" t="s">
        <v>428</v>
      </c>
      <c r="J179" s="3">
        <v>98390119</v>
      </c>
      <c r="K179" s="3" t="s">
        <v>33</v>
      </c>
      <c r="L179" s="6">
        <v>4000000</v>
      </c>
      <c r="M179" s="6">
        <f t="shared" si="0"/>
        <v>0</v>
      </c>
      <c r="N179" s="6"/>
    </row>
    <row r="180" spans="1:14" ht="15.75" hidden="1" customHeight="1" x14ac:dyDescent="0.25">
      <c r="A180" s="3" t="s">
        <v>429</v>
      </c>
      <c r="B180" s="6">
        <v>4000000</v>
      </c>
      <c r="C180" s="3" t="s">
        <v>14</v>
      </c>
      <c r="D180" s="4">
        <v>45477</v>
      </c>
      <c r="E180" s="4">
        <v>45539</v>
      </c>
      <c r="F180" s="3" t="s">
        <v>430</v>
      </c>
      <c r="G180" s="3" t="s">
        <v>21</v>
      </c>
      <c r="H180" s="3">
        <v>59830219</v>
      </c>
      <c r="I180" s="3" t="s">
        <v>431</v>
      </c>
      <c r="J180" s="3">
        <v>36950699</v>
      </c>
      <c r="K180" s="3" t="s">
        <v>58</v>
      </c>
      <c r="L180" s="6">
        <v>4000000</v>
      </c>
      <c r="M180" s="6">
        <f t="shared" si="0"/>
        <v>0</v>
      </c>
      <c r="N180" s="6"/>
    </row>
    <row r="181" spans="1:14" ht="15.75" hidden="1" customHeight="1" x14ac:dyDescent="0.25">
      <c r="A181" s="3" t="s">
        <v>432</v>
      </c>
      <c r="B181" s="6">
        <v>4000000</v>
      </c>
      <c r="C181" s="3" t="s">
        <v>14</v>
      </c>
      <c r="D181" s="4">
        <v>45477</v>
      </c>
      <c r="E181" s="4">
        <v>45539</v>
      </c>
      <c r="F181" s="3" t="s">
        <v>427</v>
      </c>
      <c r="G181" s="3" t="s">
        <v>21</v>
      </c>
      <c r="H181" s="3">
        <v>27094521</v>
      </c>
      <c r="I181" s="3" t="s">
        <v>433</v>
      </c>
      <c r="J181" s="3">
        <v>98333941</v>
      </c>
      <c r="K181" s="3" t="s">
        <v>26</v>
      </c>
      <c r="L181" s="6">
        <v>4000000</v>
      </c>
      <c r="M181" s="6">
        <f t="shared" si="0"/>
        <v>0</v>
      </c>
      <c r="N181" s="6"/>
    </row>
    <row r="182" spans="1:14" ht="15.75" hidden="1" customHeight="1" x14ac:dyDescent="0.25">
      <c r="A182" s="3" t="s">
        <v>434</v>
      </c>
      <c r="B182" s="6">
        <v>4000000</v>
      </c>
      <c r="C182" s="3" t="s">
        <v>14</v>
      </c>
      <c r="D182" s="4">
        <v>45482</v>
      </c>
      <c r="E182" s="4">
        <v>45544</v>
      </c>
      <c r="F182" s="3" t="s">
        <v>427</v>
      </c>
      <c r="G182" s="3" t="s">
        <v>21</v>
      </c>
      <c r="H182" s="3">
        <v>1085337465</v>
      </c>
      <c r="I182" s="3" t="s">
        <v>435</v>
      </c>
      <c r="J182" s="3">
        <v>36950699</v>
      </c>
      <c r="K182" s="3" t="s">
        <v>58</v>
      </c>
      <c r="L182" s="6">
        <v>4000000</v>
      </c>
      <c r="M182" s="6">
        <f t="shared" si="0"/>
        <v>0</v>
      </c>
      <c r="N182" s="6"/>
    </row>
    <row r="183" spans="1:14" ht="15.75" hidden="1" customHeight="1" x14ac:dyDescent="0.25">
      <c r="A183" s="3" t="s">
        <v>436</v>
      </c>
      <c r="B183" s="6">
        <v>4000000</v>
      </c>
      <c r="C183" s="3" t="s">
        <v>14</v>
      </c>
      <c r="D183" s="4">
        <v>45482</v>
      </c>
      <c r="E183" s="4">
        <v>45544</v>
      </c>
      <c r="F183" s="3" t="s">
        <v>437</v>
      </c>
      <c r="G183" s="3" t="s">
        <v>21</v>
      </c>
      <c r="H183" s="3">
        <v>1085269090</v>
      </c>
      <c r="I183" s="3" t="s">
        <v>438</v>
      </c>
      <c r="J183" s="3">
        <v>36950699</v>
      </c>
      <c r="K183" s="3" t="s">
        <v>58</v>
      </c>
      <c r="L183" s="6">
        <v>4000000</v>
      </c>
      <c r="M183" s="6">
        <f t="shared" si="0"/>
        <v>0</v>
      </c>
      <c r="N183" s="6"/>
    </row>
    <row r="184" spans="1:14" ht="15.75" hidden="1" customHeight="1" x14ac:dyDescent="0.25">
      <c r="A184" s="3" t="s">
        <v>439</v>
      </c>
      <c r="B184" s="6">
        <v>4000000</v>
      </c>
      <c r="C184" s="3" t="s">
        <v>14</v>
      </c>
      <c r="D184" s="4">
        <v>45483</v>
      </c>
      <c r="E184" s="4">
        <v>45545</v>
      </c>
      <c r="F184" s="3" t="s">
        <v>419</v>
      </c>
      <c r="G184" s="3" t="s">
        <v>21</v>
      </c>
      <c r="H184" s="3">
        <v>1086016308</v>
      </c>
      <c r="I184" s="3" t="s">
        <v>440</v>
      </c>
      <c r="J184" s="3">
        <v>36950699</v>
      </c>
      <c r="K184" s="3" t="s">
        <v>58</v>
      </c>
      <c r="L184" s="6">
        <v>4000000</v>
      </c>
      <c r="M184" s="6">
        <f t="shared" si="0"/>
        <v>0</v>
      </c>
      <c r="N184" s="6"/>
    </row>
    <row r="185" spans="1:14" ht="15.75" hidden="1" customHeight="1" x14ac:dyDescent="0.25">
      <c r="A185" s="3" t="s">
        <v>441</v>
      </c>
      <c r="B185" s="6">
        <v>4000000</v>
      </c>
      <c r="C185" s="3" t="s">
        <v>14</v>
      </c>
      <c r="D185" s="4">
        <v>45483</v>
      </c>
      <c r="E185" s="4">
        <v>45545</v>
      </c>
      <c r="F185" s="3" t="s">
        <v>437</v>
      </c>
      <c r="G185" s="3" t="s">
        <v>21</v>
      </c>
      <c r="H185" s="3">
        <v>1081595853</v>
      </c>
      <c r="I185" s="3" t="s">
        <v>442</v>
      </c>
      <c r="J185" s="3">
        <v>98390119</v>
      </c>
      <c r="K185" s="3" t="s">
        <v>33</v>
      </c>
      <c r="L185" s="6">
        <v>4000000</v>
      </c>
      <c r="M185" s="6">
        <f t="shared" si="0"/>
        <v>0</v>
      </c>
      <c r="N185" s="6"/>
    </row>
    <row r="186" spans="1:14" ht="15.75" hidden="1" customHeight="1" x14ac:dyDescent="0.25">
      <c r="A186" s="3" t="s">
        <v>443</v>
      </c>
      <c r="B186" s="6">
        <v>4000000</v>
      </c>
      <c r="C186" s="3" t="s">
        <v>14</v>
      </c>
      <c r="D186" s="4">
        <v>45483</v>
      </c>
      <c r="E186" s="4">
        <v>45545</v>
      </c>
      <c r="F186" s="3" t="s">
        <v>424</v>
      </c>
      <c r="G186" s="3" t="s">
        <v>21</v>
      </c>
      <c r="H186" s="3">
        <v>12750863</v>
      </c>
      <c r="I186" s="3" t="s">
        <v>444</v>
      </c>
      <c r="J186" s="3">
        <v>98333941</v>
      </c>
      <c r="K186" s="3" t="s">
        <v>26</v>
      </c>
      <c r="L186" s="6">
        <v>4000000</v>
      </c>
      <c r="M186" s="6">
        <f t="shared" si="0"/>
        <v>0</v>
      </c>
      <c r="N186" s="6"/>
    </row>
    <row r="187" spans="1:14" ht="15.75" hidden="1" customHeight="1" x14ac:dyDescent="0.25">
      <c r="A187" s="3" t="s">
        <v>445</v>
      </c>
      <c r="B187" s="6">
        <v>4000000</v>
      </c>
      <c r="C187" s="3" t="s">
        <v>14</v>
      </c>
      <c r="D187" s="4">
        <v>45483</v>
      </c>
      <c r="E187" s="4">
        <v>45545</v>
      </c>
      <c r="F187" s="3" t="s">
        <v>446</v>
      </c>
      <c r="G187" s="3" t="s">
        <v>21</v>
      </c>
      <c r="H187" s="3">
        <v>30737741</v>
      </c>
      <c r="I187" s="3" t="s">
        <v>447</v>
      </c>
      <c r="J187" s="3">
        <v>98390119</v>
      </c>
      <c r="K187" s="3" t="s">
        <v>33</v>
      </c>
      <c r="L187" s="6">
        <v>4000000</v>
      </c>
      <c r="M187" s="6">
        <f t="shared" si="0"/>
        <v>0</v>
      </c>
      <c r="N187" s="6"/>
    </row>
    <row r="188" spans="1:14" ht="15.75" hidden="1" customHeight="1" x14ac:dyDescent="0.25">
      <c r="A188" s="3" t="s">
        <v>448</v>
      </c>
      <c r="B188" s="6">
        <v>4000000</v>
      </c>
      <c r="C188" s="3" t="s">
        <v>14</v>
      </c>
      <c r="D188" s="4">
        <v>45484</v>
      </c>
      <c r="E188" s="4">
        <v>45546</v>
      </c>
      <c r="F188" s="3" t="s">
        <v>424</v>
      </c>
      <c r="G188" s="3" t="s">
        <v>21</v>
      </c>
      <c r="H188" s="3">
        <v>1085327836</v>
      </c>
      <c r="I188" s="3" t="s">
        <v>449</v>
      </c>
      <c r="J188" s="3">
        <v>59822566</v>
      </c>
      <c r="K188" s="3" t="s">
        <v>23</v>
      </c>
      <c r="L188" s="6">
        <v>4000000</v>
      </c>
      <c r="M188" s="6">
        <f t="shared" si="0"/>
        <v>0</v>
      </c>
      <c r="N188" s="6"/>
    </row>
    <row r="189" spans="1:14" ht="15.75" hidden="1" customHeight="1" x14ac:dyDescent="0.25">
      <c r="A189" s="3" t="s">
        <v>450</v>
      </c>
      <c r="B189" s="6">
        <v>4000000</v>
      </c>
      <c r="C189" s="3" t="s">
        <v>14</v>
      </c>
      <c r="D189" s="4">
        <v>45484</v>
      </c>
      <c r="E189" s="4">
        <v>45546</v>
      </c>
      <c r="F189" s="3" t="s">
        <v>419</v>
      </c>
      <c r="G189" s="3" t="s">
        <v>21</v>
      </c>
      <c r="H189" s="3">
        <v>1233189896</v>
      </c>
      <c r="I189" s="3" t="s">
        <v>451</v>
      </c>
      <c r="J189" s="3">
        <v>59822566</v>
      </c>
      <c r="K189" s="3" t="s">
        <v>23</v>
      </c>
      <c r="L189" s="6">
        <v>4000000</v>
      </c>
      <c r="M189" s="6">
        <f t="shared" si="0"/>
        <v>0</v>
      </c>
      <c r="N189" s="6"/>
    </row>
    <row r="190" spans="1:14" ht="15.75" hidden="1" customHeight="1" x14ac:dyDescent="0.25">
      <c r="A190" s="3" t="s">
        <v>452</v>
      </c>
      <c r="B190" s="6">
        <v>2733333.33</v>
      </c>
      <c r="C190" s="3" t="s">
        <v>14</v>
      </c>
      <c r="D190" s="4">
        <v>45484</v>
      </c>
      <c r="E190" s="4">
        <v>45546</v>
      </c>
      <c r="F190" s="3" t="s">
        <v>427</v>
      </c>
      <c r="G190" s="3" t="s">
        <v>21</v>
      </c>
      <c r="H190" s="3">
        <v>1081052552</v>
      </c>
      <c r="I190" s="3" t="s">
        <v>453</v>
      </c>
      <c r="J190" s="3">
        <v>36950699</v>
      </c>
      <c r="K190" s="3" t="s">
        <v>58</v>
      </c>
      <c r="L190" s="6">
        <v>4000000</v>
      </c>
      <c r="M190" s="6">
        <f t="shared" si="0"/>
        <v>-1266666.67</v>
      </c>
      <c r="N190" s="6"/>
    </row>
    <row r="191" spans="1:14" ht="15.75" hidden="1" customHeight="1" x14ac:dyDescent="0.25">
      <c r="A191" s="3" t="s">
        <v>454</v>
      </c>
      <c r="B191" s="6">
        <v>4000000</v>
      </c>
      <c r="C191" s="3" t="s">
        <v>14</v>
      </c>
      <c r="D191" s="4">
        <v>45484</v>
      </c>
      <c r="E191" s="4">
        <v>45546</v>
      </c>
      <c r="F191" s="3" t="s">
        <v>424</v>
      </c>
      <c r="G191" s="3" t="s">
        <v>21</v>
      </c>
      <c r="H191" s="3">
        <v>1085330237</v>
      </c>
      <c r="I191" s="3" t="s">
        <v>455</v>
      </c>
      <c r="J191" s="3">
        <v>59822566</v>
      </c>
      <c r="K191" s="3" t="s">
        <v>23</v>
      </c>
      <c r="L191" s="6">
        <v>4000000</v>
      </c>
      <c r="M191" s="6">
        <f t="shared" si="0"/>
        <v>0</v>
      </c>
      <c r="N191" s="6"/>
    </row>
    <row r="192" spans="1:14" ht="15.75" hidden="1" customHeight="1" x14ac:dyDescent="0.25">
      <c r="A192" s="3" t="s">
        <v>456</v>
      </c>
      <c r="B192" s="6">
        <v>4000000</v>
      </c>
      <c r="C192" s="3" t="s">
        <v>14</v>
      </c>
      <c r="D192" s="4">
        <v>45484</v>
      </c>
      <c r="E192" s="4">
        <v>45546</v>
      </c>
      <c r="F192" s="3" t="s">
        <v>424</v>
      </c>
      <c r="G192" s="3" t="s">
        <v>21</v>
      </c>
      <c r="H192" s="3">
        <v>1085314075</v>
      </c>
      <c r="I192" s="3" t="s">
        <v>457</v>
      </c>
      <c r="J192" s="3">
        <v>98333941</v>
      </c>
      <c r="K192" s="3" t="s">
        <v>26</v>
      </c>
      <c r="L192" s="6">
        <v>4000000</v>
      </c>
      <c r="M192" s="6">
        <f t="shared" si="0"/>
        <v>0</v>
      </c>
      <c r="N192" s="6"/>
    </row>
    <row r="193" spans="1:14" ht="15.75" hidden="1" customHeight="1" x14ac:dyDescent="0.25">
      <c r="A193" s="3" t="s">
        <v>458</v>
      </c>
      <c r="B193" s="6">
        <v>4000000</v>
      </c>
      <c r="C193" s="3" t="s">
        <v>14</v>
      </c>
      <c r="D193" s="4">
        <v>45484</v>
      </c>
      <c r="E193" s="4">
        <v>45546</v>
      </c>
      <c r="F193" s="3" t="s">
        <v>424</v>
      </c>
      <c r="G193" s="3" t="s">
        <v>21</v>
      </c>
      <c r="H193" s="3">
        <v>1085290651</v>
      </c>
      <c r="I193" s="3" t="s">
        <v>459</v>
      </c>
      <c r="J193" s="3">
        <v>98333941</v>
      </c>
      <c r="K193" s="3" t="s">
        <v>26</v>
      </c>
      <c r="L193" s="6">
        <v>4000000</v>
      </c>
      <c r="M193" s="6">
        <f t="shared" si="0"/>
        <v>0</v>
      </c>
      <c r="N193" s="6"/>
    </row>
    <row r="194" spans="1:14" ht="15.75" hidden="1" customHeight="1" x14ac:dyDescent="0.25">
      <c r="A194" s="3" t="s">
        <v>460</v>
      </c>
      <c r="B194" s="6">
        <v>4000000</v>
      </c>
      <c r="C194" s="3" t="s">
        <v>14</v>
      </c>
      <c r="D194" s="4">
        <v>45485</v>
      </c>
      <c r="E194" s="4">
        <v>45547</v>
      </c>
      <c r="F194" s="3" t="s">
        <v>461</v>
      </c>
      <c r="G194" s="3" t="s">
        <v>21</v>
      </c>
      <c r="H194" s="3">
        <v>27309586</v>
      </c>
      <c r="I194" s="3" t="s">
        <v>462</v>
      </c>
      <c r="J194" s="3">
        <v>98390119</v>
      </c>
      <c r="K194" s="3" t="s">
        <v>33</v>
      </c>
      <c r="L194" s="6">
        <v>4000000</v>
      </c>
      <c r="M194" s="6">
        <f t="shared" si="0"/>
        <v>0</v>
      </c>
      <c r="N194" s="6"/>
    </row>
    <row r="195" spans="1:14" ht="15.75" hidden="1" customHeight="1" x14ac:dyDescent="0.25">
      <c r="A195" s="3" t="s">
        <v>463</v>
      </c>
      <c r="B195" s="6">
        <v>4000000</v>
      </c>
      <c r="C195" s="3" t="s">
        <v>14</v>
      </c>
      <c r="D195" s="4">
        <v>45485</v>
      </c>
      <c r="E195" s="4">
        <v>45547</v>
      </c>
      <c r="F195" s="3" t="s">
        <v>419</v>
      </c>
      <c r="G195" s="3" t="s">
        <v>21</v>
      </c>
      <c r="H195" s="3">
        <v>36757715</v>
      </c>
      <c r="I195" s="3" t="s">
        <v>464</v>
      </c>
      <c r="J195" s="3">
        <v>36950699</v>
      </c>
      <c r="K195" s="3" t="s">
        <v>58</v>
      </c>
      <c r="L195" s="6">
        <v>4000000</v>
      </c>
      <c r="M195" s="6">
        <f t="shared" si="0"/>
        <v>0</v>
      </c>
      <c r="N195" s="6"/>
    </row>
    <row r="196" spans="1:14" ht="15.75" hidden="1" customHeight="1" x14ac:dyDescent="0.25">
      <c r="A196" s="3" t="s">
        <v>465</v>
      </c>
      <c r="B196" s="6">
        <v>4000000</v>
      </c>
      <c r="C196" s="3" t="s">
        <v>14</v>
      </c>
      <c r="D196" s="4">
        <v>45485</v>
      </c>
      <c r="E196" s="4">
        <v>45547</v>
      </c>
      <c r="F196" s="3" t="s">
        <v>461</v>
      </c>
      <c r="G196" s="3" t="s">
        <v>21</v>
      </c>
      <c r="H196" s="3">
        <v>36759281</v>
      </c>
      <c r="I196" s="3" t="s">
        <v>466</v>
      </c>
      <c r="J196" s="3">
        <v>36950699</v>
      </c>
      <c r="K196" s="3" t="s">
        <v>58</v>
      </c>
      <c r="L196" s="6">
        <v>4000000</v>
      </c>
      <c r="M196" s="6">
        <f t="shared" si="0"/>
        <v>0</v>
      </c>
      <c r="N196" s="6"/>
    </row>
    <row r="197" spans="1:14" ht="15.75" hidden="1" customHeight="1" x14ac:dyDescent="0.25">
      <c r="A197" s="3" t="s">
        <v>467</v>
      </c>
      <c r="B197" s="6">
        <v>4000000</v>
      </c>
      <c r="C197" s="3" t="s">
        <v>14</v>
      </c>
      <c r="D197" s="4">
        <v>45485</v>
      </c>
      <c r="E197" s="4">
        <v>45547</v>
      </c>
      <c r="F197" s="3" t="s">
        <v>461</v>
      </c>
      <c r="G197" s="3" t="s">
        <v>21</v>
      </c>
      <c r="H197" s="3">
        <v>1193265831</v>
      </c>
      <c r="I197" s="3" t="s">
        <v>468</v>
      </c>
      <c r="J197" s="3">
        <v>98390119</v>
      </c>
      <c r="K197" s="3" t="s">
        <v>33</v>
      </c>
      <c r="L197" s="6">
        <v>4000000</v>
      </c>
      <c r="M197" s="6">
        <f t="shared" si="0"/>
        <v>0</v>
      </c>
      <c r="N197" s="6"/>
    </row>
    <row r="198" spans="1:14" ht="15.75" hidden="1" customHeight="1" x14ac:dyDescent="0.25">
      <c r="A198" s="3" t="s">
        <v>469</v>
      </c>
      <c r="B198" s="6">
        <v>4000000</v>
      </c>
      <c r="C198" s="3" t="s">
        <v>14</v>
      </c>
      <c r="D198" s="4">
        <v>45485</v>
      </c>
      <c r="E198" s="4">
        <v>45547</v>
      </c>
      <c r="F198" s="3" t="s">
        <v>424</v>
      </c>
      <c r="G198" s="3" t="s">
        <v>21</v>
      </c>
      <c r="H198" s="3">
        <v>1004535115</v>
      </c>
      <c r="I198" s="3" t="s">
        <v>470</v>
      </c>
      <c r="J198" s="3">
        <v>98333941</v>
      </c>
      <c r="K198" s="3" t="s">
        <v>26</v>
      </c>
      <c r="L198" s="6">
        <v>4000000</v>
      </c>
      <c r="M198" s="6">
        <f t="shared" si="0"/>
        <v>0</v>
      </c>
      <c r="N198" s="6"/>
    </row>
    <row r="199" spans="1:14" ht="15.75" hidden="1" customHeight="1" x14ac:dyDescent="0.25">
      <c r="A199" s="3" t="s">
        <v>471</v>
      </c>
      <c r="B199" s="6">
        <v>4000000</v>
      </c>
      <c r="C199" s="3" t="s">
        <v>14</v>
      </c>
      <c r="D199" s="4">
        <v>45485</v>
      </c>
      <c r="E199" s="4">
        <v>45547</v>
      </c>
      <c r="F199" s="3" t="s">
        <v>461</v>
      </c>
      <c r="G199" s="3" t="s">
        <v>21</v>
      </c>
      <c r="H199" s="3">
        <v>1081273343</v>
      </c>
      <c r="I199" s="3" t="s">
        <v>472</v>
      </c>
      <c r="J199" s="3">
        <v>98390119</v>
      </c>
      <c r="K199" s="3" t="s">
        <v>473</v>
      </c>
      <c r="L199" s="6">
        <v>4000000</v>
      </c>
      <c r="M199" s="6">
        <f t="shared" si="0"/>
        <v>0</v>
      </c>
      <c r="N199" s="6"/>
    </row>
    <row r="200" spans="1:14" ht="15.75" hidden="1" customHeight="1" x14ac:dyDescent="0.25">
      <c r="A200" s="3" t="s">
        <v>474</v>
      </c>
      <c r="B200" s="6">
        <v>4000000</v>
      </c>
      <c r="C200" s="3" t="s">
        <v>14</v>
      </c>
      <c r="D200" s="4">
        <v>45485</v>
      </c>
      <c r="E200" s="4">
        <v>45547</v>
      </c>
      <c r="F200" s="3" t="s">
        <v>416</v>
      </c>
      <c r="G200" s="3" t="s">
        <v>21</v>
      </c>
      <c r="H200" s="3">
        <v>37087268</v>
      </c>
      <c r="I200" s="3" t="s">
        <v>475</v>
      </c>
      <c r="J200" s="3">
        <v>98390119</v>
      </c>
      <c r="K200" s="3" t="s">
        <v>33</v>
      </c>
      <c r="L200" s="6">
        <v>4000000</v>
      </c>
      <c r="M200" s="6">
        <f t="shared" si="0"/>
        <v>0</v>
      </c>
      <c r="N200" s="6"/>
    </row>
    <row r="201" spans="1:14" ht="15.75" hidden="1" customHeight="1" x14ac:dyDescent="0.25">
      <c r="A201" s="3" t="s">
        <v>476</v>
      </c>
      <c r="B201" s="6">
        <v>4000000</v>
      </c>
      <c r="C201" s="3" t="s">
        <v>14</v>
      </c>
      <c r="D201" s="4">
        <v>45488</v>
      </c>
      <c r="E201" s="4">
        <v>45550</v>
      </c>
      <c r="F201" s="3" t="s">
        <v>461</v>
      </c>
      <c r="G201" s="3" t="s">
        <v>21</v>
      </c>
      <c r="H201" s="3">
        <v>1085320930</v>
      </c>
      <c r="I201" s="3" t="s">
        <v>477</v>
      </c>
      <c r="J201" s="3">
        <v>98390119</v>
      </c>
      <c r="K201" s="3" t="s">
        <v>33</v>
      </c>
      <c r="L201" s="6">
        <v>4000000</v>
      </c>
      <c r="M201" s="6">
        <f t="shared" si="0"/>
        <v>0</v>
      </c>
      <c r="N201" s="6"/>
    </row>
    <row r="202" spans="1:14" ht="15.75" hidden="1" customHeight="1" x14ac:dyDescent="0.25">
      <c r="A202" s="3" t="s">
        <v>478</v>
      </c>
      <c r="B202" s="6">
        <v>4000000</v>
      </c>
      <c r="C202" s="3" t="s">
        <v>14</v>
      </c>
      <c r="D202" s="4">
        <v>45488</v>
      </c>
      <c r="E202" s="4">
        <v>45550</v>
      </c>
      <c r="F202" s="3" t="s">
        <v>461</v>
      </c>
      <c r="G202" s="3" t="s">
        <v>21</v>
      </c>
      <c r="H202" s="3">
        <v>1085251468</v>
      </c>
      <c r="I202" s="3" t="s">
        <v>479</v>
      </c>
      <c r="J202" s="3">
        <v>59822566</v>
      </c>
      <c r="K202" s="3" t="s">
        <v>23</v>
      </c>
      <c r="L202" s="6">
        <v>4000000</v>
      </c>
      <c r="M202" s="6">
        <f t="shared" si="0"/>
        <v>0</v>
      </c>
      <c r="N202" s="6"/>
    </row>
    <row r="203" spans="1:14" ht="15.75" hidden="1" customHeight="1" x14ac:dyDescent="0.25">
      <c r="A203" s="3" t="s">
        <v>480</v>
      </c>
      <c r="B203" s="6">
        <v>4000000</v>
      </c>
      <c r="C203" s="3" t="s">
        <v>14</v>
      </c>
      <c r="D203" s="4">
        <v>45489</v>
      </c>
      <c r="E203" s="4">
        <v>45551</v>
      </c>
      <c r="F203" s="3" t="s">
        <v>424</v>
      </c>
      <c r="G203" s="3" t="s">
        <v>21</v>
      </c>
      <c r="H203" s="3">
        <v>27090145</v>
      </c>
      <c r="I203" s="3" t="s">
        <v>481</v>
      </c>
      <c r="J203" s="3">
        <v>98390119</v>
      </c>
      <c r="K203" s="3" t="s">
        <v>33</v>
      </c>
      <c r="L203" s="6">
        <v>4000000</v>
      </c>
      <c r="M203" s="6">
        <f t="shared" si="0"/>
        <v>0</v>
      </c>
      <c r="N203" s="6"/>
    </row>
    <row r="204" spans="1:14" ht="15.75" hidden="1" customHeight="1" x14ac:dyDescent="0.25">
      <c r="A204" s="3" t="s">
        <v>482</v>
      </c>
      <c r="B204" s="6">
        <v>4000000</v>
      </c>
      <c r="C204" s="3" t="s">
        <v>14</v>
      </c>
      <c r="D204" s="4">
        <v>45490</v>
      </c>
      <c r="E204" s="4">
        <v>45552</v>
      </c>
      <c r="F204" s="3" t="s">
        <v>416</v>
      </c>
      <c r="G204" s="3" t="s">
        <v>21</v>
      </c>
      <c r="H204" s="3">
        <v>1085330079</v>
      </c>
      <c r="I204" s="3" t="s">
        <v>483</v>
      </c>
      <c r="J204" s="3">
        <v>59822566</v>
      </c>
      <c r="K204" s="3" t="s">
        <v>484</v>
      </c>
      <c r="L204" s="6">
        <v>4000000</v>
      </c>
      <c r="M204" s="6">
        <f t="shared" si="0"/>
        <v>0</v>
      </c>
      <c r="N204" s="6"/>
    </row>
    <row r="205" spans="1:14" ht="15.75" hidden="1" customHeight="1" x14ac:dyDescent="0.25">
      <c r="A205" s="3" t="s">
        <v>485</v>
      </c>
      <c r="B205" s="6">
        <v>4000000</v>
      </c>
      <c r="C205" s="3" t="s">
        <v>14</v>
      </c>
      <c r="D205" s="4">
        <v>45490</v>
      </c>
      <c r="E205" s="4">
        <v>45552</v>
      </c>
      <c r="F205" s="3" t="s">
        <v>416</v>
      </c>
      <c r="G205" s="3" t="s">
        <v>21</v>
      </c>
      <c r="H205" s="3">
        <v>1085310465</v>
      </c>
      <c r="I205" s="3" t="s">
        <v>486</v>
      </c>
      <c r="J205" s="3">
        <v>98390119</v>
      </c>
      <c r="K205" s="3" t="s">
        <v>33</v>
      </c>
      <c r="L205" s="6">
        <v>4000000</v>
      </c>
      <c r="M205" s="6">
        <f t="shared" si="0"/>
        <v>0</v>
      </c>
      <c r="N205" s="6"/>
    </row>
    <row r="206" spans="1:14" ht="15.75" hidden="1" customHeight="1" x14ac:dyDescent="0.25">
      <c r="A206" s="3" t="s">
        <v>487</v>
      </c>
      <c r="B206" s="6">
        <v>4000000</v>
      </c>
      <c r="C206" s="3" t="s">
        <v>14</v>
      </c>
      <c r="D206" s="4">
        <v>45491</v>
      </c>
      <c r="E206" s="4">
        <v>45553</v>
      </c>
      <c r="F206" s="3" t="s">
        <v>424</v>
      </c>
      <c r="G206" s="3" t="s">
        <v>21</v>
      </c>
      <c r="H206" s="3">
        <v>1085338135</v>
      </c>
      <c r="I206" s="3" t="s">
        <v>488</v>
      </c>
      <c r="J206" s="3">
        <v>36950699</v>
      </c>
      <c r="K206" s="3" t="s">
        <v>58</v>
      </c>
      <c r="L206" s="6">
        <v>4000000</v>
      </c>
      <c r="M206" s="6">
        <f t="shared" si="0"/>
        <v>0</v>
      </c>
      <c r="N206" s="6"/>
    </row>
    <row r="207" spans="1:14" ht="15.75" hidden="1" customHeight="1" x14ac:dyDescent="0.25">
      <c r="A207" s="3" t="s">
        <v>489</v>
      </c>
      <c r="B207" s="6">
        <v>4000000</v>
      </c>
      <c r="C207" s="3" t="s">
        <v>14</v>
      </c>
      <c r="D207" s="4">
        <v>45491</v>
      </c>
      <c r="E207" s="4">
        <v>45553</v>
      </c>
      <c r="F207" s="3" t="s">
        <v>419</v>
      </c>
      <c r="G207" s="3" t="s">
        <v>21</v>
      </c>
      <c r="H207" s="3">
        <v>36753698</v>
      </c>
      <c r="I207" s="3" t="s">
        <v>490</v>
      </c>
      <c r="J207" s="3">
        <v>59822566</v>
      </c>
      <c r="K207" s="3" t="s">
        <v>23</v>
      </c>
      <c r="L207" s="6">
        <v>4000000</v>
      </c>
      <c r="M207" s="6">
        <f t="shared" si="0"/>
        <v>0</v>
      </c>
      <c r="N207" s="6"/>
    </row>
    <row r="208" spans="1:14" ht="15.75" hidden="1" customHeight="1" x14ac:dyDescent="0.25">
      <c r="A208" s="3" t="s">
        <v>491</v>
      </c>
      <c r="B208" s="6">
        <v>2000000</v>
      </c>
      <c r="C208" s="3" t="s">
        <v>14</v>
      </c>
      <c r="D208" s="4">
        <v>45497</v>
      </c>
      <c r="E208" s="4">
        <v>45528</v>
      </c>
      <c r="F208" s="3" t="s">
        <v>90</v>
      </c>
      <c r="G208" s="3" t="s">
        <v>21</v>
      </c>
      <c r="H208" s="3">
        <v>1081053820</v>
      </c>
      <c r="I208" s="3" t="s">
        <v>492</v>
      </c>
      <c r="J208" s="3">
        <v>98390119</v>
      </c>
      <c r="K208" s="3" t="s">
        <v>33</v>
      </c>
      <c r="L208" s="6">
        <v>2000000</v>
      </c>
      <c r="M208" s="6">
        <f t="shared" si="0"/>
        <v>0</v>
      </c>
      <c r="N208" s="6"/>
    </row>
    <row r="209" spans="1:26" ht="15.75" hidden="1" customHeight="1" x14ac:dyDescent="0.25">
      <c r="A209" s="3" t="s">
        <v>493</v>
      </c>
      <c r="B209" s="6">
        <v>7500000</v>
      </c>
      <c r="C209" s="3" t="s">
        <v>14</v>
      </c>
      <c r="D209" s="4">
        <v>45498</v>
      </c>
      <c r="E209" s="4">
        <v>45529</v>
      </c>
      <c r="F209" s="3" t="s">
        <v>28</v>
      </c>
      <c r="G209" s="3" t="s">
        <v>21</v>
      </c>
      <c r="H209" s="3">
        <v>1085296958</v>
      </c>
      <c r="I209" s="3" t="s">
        <v>494</v>
      </c>
      <c r="J209" s="3">
        <v>59822566</v>
      </c>
      <c r="K209" s="3" t="s">
        <v>23</v>
      </c>
      <c r="L209" s="6">
        <v>7500000</v>
      </c>
      <c r="M209" s="6">
        <f t="shared" si="0"/>
        <v>0</v>
      </c>
      <c r="N209" s="6"/>
    </row>
    <row r="210" spans="1:26" ht="15.75" hidden="1" customHeight="1" x14ac:dyDescent="0.25">
      <c r="A210" s="3" t="s">
        <v>495</v>
      </c>
      <c r="B210" s="6">
        <v>2000000</v>
      </c>
      <c r="C210" s="3" t="s">
        <v>14</v>
      </c>
      <c r="D210" s="4">
        <v>45498</v>
      </c>
      <c r="E210" s="4">
        <v>45529</v>
      </c>
      <c r="F210" s="3" t="s">
        <v>496</v>
      </c>
      <c r="G210" s="3" t="s">
        <v>21</v>
      </c>
      <c r="H210" s="3">
        <v>98392455</v>
      </c>
      <c r="I210" s="3" t="s">
        <v>497</v>
      </c>
      <c r="J210" s="3">
        <v>59822566</v>
      </c>
      <c r="K210" s="3" t="s">
        <v>498</v>
      </c>
      <c r="L210" s="6">
        <v>2000000</v>
      </c>
      <c r="M210" s="6">
        <f t="shared" si="0"/>
        <v>0</v>
      </c>
      <c r="N210" s="6"/>
    </row>
    <row r="211" spans="1:26" ht="15.75" hidden="1" customHeight="1" x14ac:dyDescent="0.25">
      <c r="A211" s="3" t="s">
        <v>499</v>
      </c>
      <c r="B211" s="6">
        <v>2000000</v>
      </c>
      <c r="C211" s="3" t="s">
        <v>14</v>
      </c>
      <c r="D211" s="4">
        <v>45498</v>
      </c>
      <c r="E211" s="4">
        <v>45529</v>
      </c>
      <c r="F211" s="3" t="s">
        <v>286</v>
      </c>
      <c r="G211" s="3" t="s">
        <v>21</v>
      </c>
      <c r="H211" s="3">
        <v>1004215136</v>
      </c>
      <c r="I211" s="3" t="s">
        <v>500</v>
      </c>
      <c r="J211" s="3">
        <v>98390119</v>
      </c>
      <c r="K211" s="3" t="s">
        <v>501</v>
      </c>
      <c r="L211" s="6">
        <v>2000000</v>
      </c>
      <c r="M211" s="6">
        <f t="shared" si="0"/>
        <v>0</v>
      </c>
      <c r="N211" s="6"/>
    </row>
    <row r="212" spans="1:26" ht="15.75" hidden="1" customHeight="1" x14ac:dyDescent="0.25">
      <c r="A212" s="3" t="s">
        <v>502</v>
      </c>
      <c r="B212" s="6">
        <v>6000000</v>
      </c>
      <c r="C212" s="3" t="s">
        <v>14</v>
      </c>
      <c r="D212" s="4">
        <v>45503</v>
      </c>
      <c r="E212" s="4">
        <v>45534</v>
      </c>
      <c r="F212" s="3" t="s">
        <v>140</v>
      </c>
      <c r="G212" s="3" t="s">
        <v>21</v>
      </c>
      <c r="H212" s="3">
        <v>1085286476</v>
      </c>
      <c r="I212" s="3" t="s">
        <v>503</v>
      </c>
      <c r="J212" s="3">
        <v>98390119</v>
      </c>
      <c r="K212" s="3" t="s">
        <v>33</v>
      </c>
      <c r="L212" s="6">
        <v>6000000</v>
      </c>
      <c r="M212" s="6">
        <f t="shared" si="0"/>
        <v>0</v>
      </c>
      <c r="N212" s="6"/>
    </row>
    <row r="213" spans="1:26" ht="15.75" hidden="1" customHeight="1" x14ac:dyDescent="0.25">
      <c r="A213" s="3" t="s">
        <v>504</v>
      </c>
      <c r="B213" s="6">
        <v>6000000</v>
      </c>
      <c r="C213" s="3" t="s">
        <v>14</v>
      </c>
      <c r="D213" s="4">
        <v>45503</v>
      </c>
      <c r="E213" s="4">
        <v>45534</v>
      </c>
      <c r="F213" s="3" t="s">
        <v>358</v>
      </c>
      <c r="G213" s="3" t="s">
        <v>21</v>
      </c>
      <c r="H213" s="3">
        <v>1085289928</v>
      </c>
      <c r="I213" s="3" t="s">
        <v>505</v>
      </c>
      <c r="J213" s="3">
        <v>59822566</v>
      </c>
      <c r="K213" s="3" t="s">
        <v>23</v>
      </c>
      <c r="L213" s="6">
        <v>6000000</v>
      </c>
      <c r="M213" s="6">
        <f t="shared" si="0"/>
        <v>0</v>
      </c>
      <c r="N213" s="6"/>
    </row>
    <row r="214" spans="1:26" ht="15.75" hidden="1" customHeight="1" x14ac:dyDescent="0.25">
      <c r="A214" s="3" t="s">
        <v>506</v>
      </c>
      <c r="B214" s="6">
        <v>2000000</v>
      </c>
      <c r="C214" s="3" t="s">
        <v>14</v>
      </c>
      <c r="D214" s="4">
        <v>45504</v>
      </c>
      <c r="E214" s="4">
        <v>45535</v>
      </c>
      <c r="F214" s="3" t="s">
        <v>90</v>
      </c>
      <c r="G214" s="3" t="s">
        <v>21</v>
      </c>
      <c r="H214" s="3">
        <v>59311233</v>
      </c>
      <c r="I214" s="3" t="s">
        <v>507</v>
      </c>
      <c r="J214" s="3">
        <v>98390119</v>
      </c>
      <c r="K214" s="3" t="s">
        <v>33</v>
      </c>
      <c r="L214" s="6">
        <v>2000000</v>
      </c>
      <c r="M214" s="6">
        <f t="shared" si="0"/>
        <v>0</v>
      </c>
      <c r="N214" s="6"/>
    </row>
    <row r="215" spans="1:26" ht="15.75" hidden="1" customHeight="1" x14ac:dyDescent="0.25">
      <c r="A215" s="3" t="s">
        <v>508</v>
      </c>
      <c r="B215" s="6">
        <v>2000000</v>
      </c>
      <c r="C215" s="3" t="s">
        <v>14</v>
      </c>
      <c r="D215" s="4">
        <v>45506</v>
      </c>
      <c r="E215" s="4">
        <v>45537</v>
      </c>
      <c r="F215" s="3" t="s">
        <v>424</v>
      </c>
      <c r="G215" s="3" t="s">
        <v>21</v>
      </c>
      <c r="H215" s="3">
        <v>12751390</v>
      </c>
      <c r="I215" s="3" t="s">
        <v>509</v>
      </c>
      <c r="J215" s="3">
        <v>98333941</v>
      </c>
      <c r="K215" s="3" t="s">
        <v>26</v>
      </c>
      <c r="L215" s="6">
        <v>2000000</v>
      </c>
      <c r="M215" s="6">
        <f t="shared" si="0"/>
        <v>0</v>
      </c>
      <c r="N215" s="6"/>
    </row>
    <row r="216" spans="1:26" ht="15.75" hidden="1" customHeight="1" x14ac:dyDescent="0.25">
      <c r="A216" s="3" t="s">
        <v>510</v>
      </c>
      <c r="B216" s="6">
        <v>2625000</v>
      </c>
      <c r="C216" s="3" t="s">
        <v>14</v>
      </c>
      <c r="D216" s="4">
        <v>45506</v>
      </c>
      <c r="E216" s="4">
        <v>45535</v>
      </c>
      <c r="F216" s="3" t="s">
        <v>511</v>
      </c>
      <c r="G216" s="3" t="s">
        <v>21</v>
      </c>
      <c r="H216" s="3">
        <v>1085904098</v>
      </c>
      <c r="I216" s="3" t="s">
        <v>512</v>
      </c>
      <c r="J216" s="3">
        <v>1086017548</v>
      </c>
      <c r="K216" s="3" t="s">
        <v>18</v>
      </c>
      <c r="L216" s="6">
        <v>2625000</v>
      </c>
      <c r="M216" s="6">
        <f t="shared" si="0"/>
        <v>0</v>
      </c>
      <c r="N216" s="6"/>
    </row>
    <row r="217" spans="1:26" ht="15.75" hidden="1" customHeight="1" x14ac:dyDescent="0.25">
      <c r="A217" s="3" t="s">
        <v>513</v>
      </c>
      <c r="B217" s="6">
        <v>7500000</v>
      </c>
      <c r="C217" s="3" t="s">
        <v>14</v>
      </c>
      <c r="D217" s="4">
        <v>45525</v>
      </c>
      <c r="E217" s="4">
        <v>45556</v>
      </c>
      <c r="F217" s="3" t="s">
        <v>116</v>
      </c>
      <c r="G217" s="3" t="s">
        <v>21</v>
      </c>
      <c r="H217" s="3">
        <v>1193279435</v>
      </c>
      <c r="I217" s="3" t="s">
        <v>514</v>
      </c>
      <c r="J217" s="3">
        <v>98333941</v>
      </c>
      <c r="K217" s="3" t="s">
        <v>26</v>
      </c>
      <c r="L217" s="6">
        <v>7500000</v>
      </c>
      <c r="M217" s="6">
        <f t="shared" si="0"/>
        <v>0</v>
      </c>
      <c r="N217" s="6"/>
    </row>
    <row r="218" spans="1:26" ht="15.75" hidden="1" customHeight="1" x14ac:dyDescent="0.25">
      <c r="A218" s="3" t="s">
        <v>515</v>
      </c>
      <c r="B218" s="6">
        <v>5000000</v>
      </c>
      <c r="C218" s="3" t="s">
        <v>14</v>
      </c>
      <c r="D218" s="4">
        <v>45573</v>
      </c>
      <c r="E218" s="4">
        <v>45657</v>
      </c>
      <c r="F218" s="3" t="s">
        <v>516</v>
      </c>
      <c r="G218" s="3" t="s">
        <v>21</v>
      </c>
      <c r="H218" s="3">
        <v>1193265831</v>
      </c>
      <c r="I218" s="3" t="s">
        <v>468</v>
      </c>
      <c r="J218" s="3">
        <v>59822566</v>
      </c>
      <c r="K218" s="3" t="s">
        <v>23</v>
      </c>
      <c r="L218" s="6">
        <v>7500000</v>
      </c>
      <c r="M218" s="6">
        <f t="shared" si="0"/>
        <v>-2500000</v>
      </c>
      <c r="N218" s="6"/>
    </row>
    <row r="219" spans="1:26" ht="15.75" hidden="1" customHeight="1" x14ac:dyDescent="0.25">
      <c r="A219" s="3" t="s">
        <v>517</v>
      </c>
      <c r="B219" s="6">
        <v>2500000</v>
      </c>
      <c r="C219" s="3" t="s">
        <v>14</v>
      </c>
      <c r="D219" s="4">
        <v>45750</v>
      </c>
      <c r="E219" s="4">
        <v>45808</v>
      </c>
      <c r="F219" s="3" t="s">
        <v>518</v>
      </c>
      <c r="G219" s="3" t="s">
        <v>21</v>
      </c>
      <c r="H219" s="3">
        <v>27087720</v>
      </c>
      <c r="I219" s="3" t="s">
        <v>519</v>
      </c>
      <c r="J219" s="3">
        <v>59836926</v>
      </c>
      <c r="K219" s="3" t="s">
        <v>367</v>
      </c>
      <c r="L219" s="6">
        <v>5000000</v>
      </c>
      <c r="M219" s="6">
        <f t="shared" si="0"/>
        <v>-2500000</v>
      </c>
      <c r="N219" s="6"/>
    </row>
    <row r="220" spans="1:26" ht="15.75" hidden="1" customHeight="1" x14ac:dyDescent="0.25">
      <c r="A220" s="3" t="s">
        <v>520</v>
      </c>
      <c r="B220" s="6">
        <v>2500000</v>
      </c>
      <c r="C220" s="3" t="s">
        <v>14</v>
      </c>
      <c r="D220" s="4">
        <v>45751</v>
      </c>
      <c r="E220" s="4">
        <v>45808</v>
      </c>
      <c r="F220" s="3" t="s">
        <v>521</v>
      </c>
      <c r="G220" s="3" t="s">
        <v>21</v>
      </c>
      <c r="H220" s="3">
        <v>1085347173</v>
      </c>
      <c r="I220" s="3" t="s">
        <v>522</v>
      </c>
      <c r="J220" s="3">
        <v>98333941</v>
      </c>
      <c r="K220" s="3" t="s">
        <v>26</v>
      </c>
      <c r="L220" s="6">
        <v>5000000</v>
      </c>
      <c r="M220" s="6">
        <f t="shared" si="0"/>
        <v>-2500000</v>
      </c>
      <c r="N220" s="6"/>
    </row>
    <row r="221" spans="1:26" ht="15.75" hidden="1" customHeight="1" x14ac:dyDescent="0.25">
      <c r="A221" s="3" t="s">
        <v>523</v>
      </c>
      <c r="B221" s="6">
        <v>2500000</v>
      </c>
      <c r="C221" s="3" t="s">
        <v>14</v>
      </c>
      <c r="D221" s="4">
        <v>45751</v>
      </c>
      <c r="E221" s="4">
        <v>45808</v>
      </c>
      <c r="F221" s="3" t="s">
        <v>524</v>
      </c>
      <c r="G221" s="3" t="s">
        <v>21</v>
      </c>
      <c r="H221" s="3">
        <v>30736949</v>
      </c>
      <c r="I221" s="3" t="s">
        <v>525</v>
      </c>
      <c r="J221" s="3">
        <v>43624414</v>
      </c>
      <c r="K221" s="3" t="s">
        <v>526</v>
      </c>
      <c r="L221" s="6">
        <v>5000000</v>
      </c>
      <c r="M221" s="6">
        <f t="shared" si="0"/>
        <v>-2500000</v>
      </c>
      <c r="N221" s="11"/>
      <c r="O221" s="10"/>
      <c r="P221" s="10"/>
      <c r="Q221" s="10"/>
      <c r="R221" s="10"/>
      <c r="S221" s="10"/>
      <c r="T221" s="10"/>
      <c r="U221" s="10"/>
      <c r="V221" s="10"/>
      <c r="W221" s="10"/>
      <c r="X221" s="10"/>
      <c r="Y221" s="10"/>
      <c r="Z221" s="10"/>
    </row>
    <row r="222" spans="1:26" ht="15.75" hidden="1" customHeight="1" x14ac:dyDescent="0.25">
      <c r="A222" s="3" t="s">
        <v>527</v>
      </c>
      <c r="B222" s="6">
        <v>2500000</v>
      </c>
      <c r="C222" s="3" t="s">
        <v>14</v>
      </c>
      <c r="D222" s="4">
        <v>45756</v>
      </c>
      <c r="E222" s="4">
        <v>45808</v>
      </c>
      <c r="F222" s="3" t="s">
        <v>528</v>
      </c>
      <c r="G222" s="3" t="s">
        <v>21</v>
      </c>
      <c r="H222" s="3">
        <v>59821094</v>
      </c>
      <c r="I222" s="3" t="s">
        <v>529</v>
      </c>
      <c r="J222" s="3">
        <v>98333941</v>
      </c>
      <c r="K222" s="3" t="s">
        <v>26</v>
      </c>
      <c r="L222" s="6">
        <v>5000000</v>
      </c>
      <c r="M222" s="6">
        <f t="shared" si="0"/>
        <v>-2500000</v>
      </c>
      <c r="N222" s="6"/>
    </row>
    <row r="223" spans="1:26" ht="15.75" hidden="1" customHeight="1" x14ac:dyDescent="0.25">
      <c r="A223" s="3" t="s">
        <v>530</v>
      </c>
      <c r="B223" s="6">
        <v>2500000</v>
      </c>
      <c r="C223" s="3" t="s">
        <v>14</v>
      </c>
      <c r="D223" s="4">
        <v>45756</v>
      </c>
      <c r="E223" s="4">
        <v>45808</v>
      </c>
      <c r="F223" s="3" t="s">
        <v>531</v>
      </c>
      <c r="G223" s="3" t="s">
        <v>21</v>
      </c>
      <c r="H223" s="3">
        <v>37087268</v>
      </c>
      <c r="I223" s="3" t="s">
        <v>475</v>
      </c>
      <c r="J223" s="3">
        <v>59836926</v>
      </c>
      <c r="K223" s="3" t="s">
        <v>367</v>
      </c>
      <c r="L223" s="6">
        <v>5000000</v>
      </c>
      <c r="M223" s="6">
        <f t="shared" si="0"/>
        <v>-2500000</v>
      </c>
      <c r="N223" s="6"/>
    </row>
    <row r="224" spans="1:26" ht="15.75" hidden="1" customHeight="1" x14ac:dyDescent="0.25">
      <c r="A224" s="3" t="s">
        <v>532</v>
      </c>
      <c r="B224" s="6">
        <v>2500000</v>
      </c>
      <c r="C224" s="3" t="s">
        <v>14</v>
      </c>
      <c r="D224" s="4">
        <v>45756</v>
      </c>
      <c r="E224" s="4">
        <v>45808</v>
      </c>
      <c r="F224" s="3" t="s">
        <v>533</v>
      </c>
      <c r="G224" s="3" t="s">
        <v>21</v>
      </c>
      <c r="H224" s="3">
        <v>1233189896</v>
      </c>
      <c r="I224" s="3" t="s">
        <v>451</v>
      </c>
      <c r="J224" s="3">
        <v>98390119</v>
      </c>
      <c r="K224" s="3" t="s">
        <v>33</v>
      </c>
      <c r="L224" s="6">
        <v>5000000</v>
      </c>
      <c r="M224" s="6">
        <f t="shared" si="0"/>
        <v>-2500000</v>
      </c>
      <c r="N224" s="6"/>
    </row>
    <row r="225" spans="1:26" ht="15.75" hidden="1" customHeight="1" x14ac:dyDescent="0.25">
      <c r="A225" s="3" t="s">
        <v>534</v>
      </c>
      <c r="B225" s="6">
        <v>2500000</v>
      </c>
      <c r="C225" s="3" t="s">
        <v>14</v>
      </c>
      <c r="D225" s="4">
        <v>45758</v>
      </c>
      <c r="E225" s="4">
        <v>45808</v>
      </c>
      <c r="F225" s="3" t="s">
        <v>535</v>
      </c>
      <c r="G225" s="3" t="s">
        <v>21</v>
      </c>
      <c r="H225" s="3">
        <v>1088729401</v>
      </c>
      <c r="I225" s="3" t="s">
        <v>536</v>
      </c>
      <c r="J225" s="3">
        <v>98333941</v>
      </c>
      <c r="K225" s="3" t="s">
        <v>26</v>
      </c>
      <c r="L225" s="6">
        <v>5000000</v>
      </c>
      <c r="M225" s="6">
        <f t="shared" si="0"/>
        <v>-2500000</v>
      </c>
      <c r="N225" s="6"/>
    </row>
    <row r="226" spans="1:26" ht="15.75" hidden="1" customHeight="1" x14ac:dyDescent="0.25">
      <c r="A226" s="3" t="s">
        <v>537</v>
      </c>
      <c r="B226" s="6">
        <v>2500000</v>
      </c>
      <c r="C226" s="3" t="s">
        <v>14</v>
      </c>
      <c r="D226" s="4">
        <v>45719</v>
      </c>
      <c r="E226" s="4">
        <v>45747</v>
      </c>
      <c r="F226" s="3" t="s">
        <v>538</v>
      </c>
      <c r="G226" s="3" t="s">
        <v>21</v>
      </c>
      <c r="H226" s="3">
        <v>1085320930</v>
      </c>
      <c r="I226" s="3" t="s">
        <v>477</v>
      </c>
      <c r="J226" s="3">
        <v>59822566</v>
      </c>
      <c r="K226" s="3" t="s">
        <v>23</v>
      </c>
      <c r="L226" s="6">
        <v>2500000</v>
      </c>
      <c r="M226" s="6">
        <f t="shared" si="0"/>
        <v>0</v>
      </c>
      <c r="N226" s="6"/>
    </row>
    <row r="227" spans="1:26" ht="15.75" hidden="1" customHeight="1" x14ac:dyDescent="0.25">
      <c r="A227" s="7" t="s">
        <v>539</v>
      </c>
      <c r="B227" s="8">
        <v>4750000</v>
      </c>
      <c r="C227" s="7" t="s">
        <v>14</v>
      </c>
      <c r="D227" s="9">
        <v>45748</v>
      </c>
      <c r="E227" s="9">
        <v>45808</v>
      </c>
      <c r="F227" s="7" t="s">
        <v>540</v>
      </c>
      <c r="G227" s="7" t="s">
        <v>21</v>
      </c>
      <c r="H227" s="7">
        <v>1085318684</v>
      </c>
      <c r="I227" s="7" t="s">
        <v>206</v>
      </c>
      <c r="J227" s="7">
        <v>43624414</v>
      </c>
      <c r="K227" s="7" t="s">
        <v>526</v>
      </c>
      <c r="L227" s="8">
        <v>4750000</v>
      </c>
      <c r="M227" s="6">
        <f t="shared" si="0"/>
        <v>0</v>
      </c>
      <c r="N227" s="8">
        <v>9500000</v>
      </c>
      <c r="O227" s="7"/>
      <c r="P227" s="7"/>
      <c r="Q227" s="7"/>
      <c r="R227" s="7"/>
      <c r="S227" s="7"/>
      <c r="T227" s="7"/>
      <c r="U227" s="7"/>
      <c r="V227" s="7"/>
      <c r="W227" s="7"/>
      <c r="X227" s="7"/>
      <c r="Y227" s="7"/>
      <c r="Z227" s="7"/>
    </row>
    <row r="228" spans="1:26" ht="15.75" hidden="1" customHeight="1" x14ac:dyDescent="0.25">
      <c r="A228" s="3" t="s">
        <v>541</v>
      </c>
      <c r="B228" s="6">
        <v>2500000</v>
      </c>
      <c r="C228" s="3" t="s">
        <v>14</v>
      </c>
      <c r="D228" s="4">
        <v>45758</v>
      </c>
      <c r="E228" s="4">
        <v>45808</v>
      </c>
      <c r="F228" s="3" t="s">
        <v>531</v>
      </c>
      <c r="G228" s="3" t="s">
        <v>21</v>
      </c>
      <c r="H228" s="3">
        <v>12974849</v>
      </c>
      <c r="I228" s="3" t="s">
        <v>542</v>
      </c>
      <c r="J228" s="3">
        <v>43624414</v>
      </c>
      <c r="K228" s="3" t="s">
        <v>526</v>
      </c>
      <c r="L228" s="6">
        <v>5000000</v>
      </c>
      <c r="M228" s="6">
        <f t="shared" si="0"/>
        <v>-2500000</v>
      </c>
      <c r="N228" s="6"/>
    </row>
    <row r="229" spans="1:26" ht="15.75" hidden="1" customHeight="1" x14ac:dyDescent="0.25">
      <c r="A229" s="3" t="s">
        <v>543</v>
      </c>
      <c r="B229" s="6">
        <v>2500000</v>
      </c>
      <c r="C229" s="3" t="s">
        <v>14</v>
      </c>
      <c r="D229" s="4">
        <v>45768</v>
      </c>
      <c r="E229" s="4">
        <v>45808</v>
      </c>
      <c r="F229" s="3" t="s">
        <v>544</v>
      </c>
      <c r="G229" s="3" t="s">
        <v>21</v>
      </c>
      <c r="H229" s="3">
        <v>1081052090</v>
      </c>
      <c r="I229" s="3" t="s">
        <v>422</v>
      </c>
      <c r="J229" s="3">
        <v>43624414</v>
      </c>
      <c r="K229" s="3" t="s">
        <v>526</v>
      </c>
      <c r="L229" s="6">
        <v>5000000</v>
      </c>
      <c r="M229" s="6">
        <f t="shared" si="0"/>
        <v>-2500000</v>
      </c>
      <c r="N229" s="6"/>
    </row>
    <row r="230" spans="1:26" ht="15.75" hidden="1" customHeight="1" x14ac:dyDescent="0.25">
      <c r="A230" s="3" t="s">
        <v>545</v>
      </c>
      <c r="B230" s="6">
        <v>2500000</v>
      </c>
      <c r="C230" s="3" t="s">
        <v>14</v>
      </c>
      <c r="D230" s="4">
        <v>45769</v>
      </c>
      <c r="E230" s="4">
        <v>45808</v>
      </c>
      <c r="F230" s="3" t="s">
        <v>546</v>
      </c>
      <c r="G230" s="3" t="s">
        <v>21</v>
      </c>
      <c r="H230" s="3">
        <v>1233188479</v>
      </c>
      <c r="I230" s="3" t="s">
        <v>547</v>
      </c>
      <c r="J230" s="3">
        <v>43624414</v>
      </c>
      <c r="K230" s="3" t="s">
        <v>526</v>
      </c>
      <c r="L230" s="6">
        <v>5000000</v>
      </c>
      <c r="M230" s="6">
        <f t="shared" si="0"/>
        <v>-2500000</v>
      </c>
      <c r="N230" s="6"/>
    </row>
    <row r="231" spans="1:26" ht="15.75" hidden="1" customHeight="1" x14ac:dyDescent="0.25">
      <c r="A231" s="3" t="s">
        <v>548</v>
      </c>
      <c r="B231" s="6">
        <v>3000000</v>
      </c>
      <c r="C231" s="3" t="s">
        <v>14</v>
      </c>
      <c r="D231" s="4">
        <v>45748</v>
      </c>
      <c r="E231" s="4">
        <v>45808</v>
      </c>
      <c r="F231" s="3" t="s">
        <v>549</v>
      </c>
      <c r="G231" s="3" t="s">
        <v>21</v>
      </c>
      <c r="H231" s="3">
        <v>1137624011</v>
      </c>
      <c r="I231" s="3" t="s">
        <v>332</v>
      </c>
      <c r="J231" s="3">
        <v>59836926</v>
      </c>
      <c r="K231" s="3" t="s">
        <v>367</v>
      </c>
      <c r="L231" s="6">
        <v>6000000</v>
      </c>
      <c r="M231" s="6">
        <f t="shared" si="0"/>
        <v>-3000000</v>
      </c>
      <c r="N231" s="6"/>
    </row>
    <row r="232" spans="1:26" ht="15.75" hidden="1" customHeight="1" x14ac:dyDescent="0.25">
      <c r="A232" s="3" t="s">
        <v>550</v>
      </c>
      <c r="B232" s="6">
        <v>3000000</v>
      </c>
      <c r="C232" s="3" t="s">
        <v>14</v>
      </c>
      <c r="D232" s="4">
        <v>45748</v>
      </c>
      <c r="E232" s="4">
        <v>45808</v>
      </c>
      <c r="F232" s="3" t="s">
        <v>551</v>
      </c>
      <c r="G232" s="3" t="s">
        <v>21</v>
      </c>
      <c r="H232" s="3">
        <v>1085286725</v>
      </c>
      <c r="I232" s="3" t="s">
        <v>69</v>
      </c>
      <c r="J232" s="3">
        <v>43624414</v>
      </c>
      <c r="K232" s="3" t="s">
        <v>526</v>
      </c>
      <c r="L232" s="6">
        <v>6000000</v>
      </c>
      <c r="M232" s="6">
        <f t="shared" si="0"/>
        <v>-3000000</v>
      </c>
      <c r="N232" s="6"/>
    </row>
    <row r="233" spans="1:26" ht="15.75" hidden="1" customHeight="1" x14ac:dyDescent="0.25">
      <c r="A233" s="3" t="s">
        <v>552</v>
      </c>
      <c r="B233" s="6">
        <v>3000000</v>
      </c>
      <c r="C233" s="3" t="s">
        <v>14</v>
      </c>
      <c r="D233" s="4">
        <v>45748</v>
      </c>
      <c r="E233" s="4">
        <v>45808</v>
      </c>
      <c r="F233" s="3" t="s">
        <v>549</v>
      </c>
      <c r="G233" s="3" t="s">
        <v>21</v>
      </c>
      <c r="H233" s="3">
        <v>1085339190</v>
      </c>
      <c r="I233" s="3" t="s">
        <v>235</v>
      </c>
      <c r="J233" s="3">
        <v>98390119</v>
      </c>
      <c r="K233" s="3" t="s">
        <v>33</v>
      </c>
      <c r="L233" s="6">
        <v>6000000</v>
      </c>
      <c r="M233" s="6">
        <f t="shared" si="0"/>
        <v>-3000000</v>
      </c>
      <c r="N233" s="6"/>
    </row>
    <row r="234" spans="1:26" ht="15.75" hidden="1" customHeight="1" x14ac:dyDescent="0.25">
      <c r="A234" s="3" t="s">
        <v>553</v>
      </c>
      <c r="B234" s="6">
        <v>3000000</v>
      </c>
      <c r="C234" s="3" t="s">
        <v>14</v>
      </c>
      <c r="D234" s="4">
        <v>45748</v>
      </c>
      <c r="E234" s="4">
        <v>45808</v>
      </c>
      <c r="F234" s="3" t="s">
        <v>549</v>
      </c>
      <c r="G234" s="3" t="s">
        <v>21</v>
      </c>
      <c r="H234" s="3">
        <v>59834953</v>
      </c>
      <c r="I234" s="3" t="s">
        <v>64</v>
      </c>
      <c r="J234" s="3">
        <v>98333941</v>
      </c>
      <c r="K234" s="3" t="s">
        <v>26</v>
      </c>
      <c r="L234" s="6">
        <v>6000000</v>
      </c>
      <c r="M234" s="6">
        <f t="shared" si="0"/>
        <v>-3000000</v>
      </c>
      <c r="N234" s="6"/>
    </row>
    <row r="235" spans="1:26" ht="15.75" hidden="1" customHeight="1" x14ac:dyDescent="0.25">
      <c r="A235" s="3" t="s">
        <v>554</v>
      </c>
      <c r="B235" s="6">
        <v>3000000</v>
      </c>
      <c r="C235" s="3" t="s">
        <v>14</v>
      </c>
      <c r="D235" s="4">
        <v>45748</v>
      </c>
      <c r="E235" s="4">
        <v>45808</v>
      </c>
      <c r="F235" s="3" t="s">
        <v>551</v>
      </c>
      <c r="G235" s="3" t="s">
        <v>21</v>
      </c>
      <c r="H235" s="3">
        <v>1085288636</v>
      </c>
      <c r="I235" s="3" t="s">
        <v>85</v>
      </c>
      <c r="J235" s="3">
        <v>43624414</v>
      </c>
      <c r="K235" s="3" t="s">
        <v>526</v>
      </c>
      <c r="L235" s="6">
        <v>6000000</v>
      </c>
      <c r="M235" s="6">
        <f t="shared" si="0"/>
        <v>-3000000</v>
      </c>
      <c r="N235" s="6"/>
    </row>
    <row r="236" spans="1:26" ht="15.75" hidden="1" customHeight="1" x14ac:dyDescent="0.25">
      <c r="A236" s="3" t="s">
        <v>555</v>
      </c>
      <c r="B236" s="6">
        <v>3000000</v>
      </c>
      <c r="C236" s="3" t="s">
        <v>14</v>
      </c>
      <c r="D236" s="4">
        <v>45748</v>
      </c>
      <c r="E236" s="4">
        <v>45808</v>
      </c>
      <c r="F236" s="3" t="s">
        <v>549</v>
      </c>
      <c r="G236" s="3" t="s">
        <v>21</v>
      </c>
      <c r="H236" s="3">
        <v>1010082397</v>
      </c>
      <c r="I236" s="3" t="s">
        <v>257</v>
      </c>
      <c r="J236" s="3">
        <v>59836926</v>
      </c>
      <c r="K236" s="3" t="s">
        <v>367</v>
      </c>
      <c r="L236" s="6">
        <v>6000000</v>
      </c>
      <c r="M236" s="6">
        <f t="shared" si="0"/>
        <v>-3000000</v>
      </c>
      <c r="N236" s="6"/>
    </row>
    <row r="237" spans="1:26" ht="15.75" hidden="1" customHeight="1" x14ac:dyDescent="0.25">
      <c r="A237" s="3" t="s">
        <v>556</v>
      </c>
      <c r="B237" s="6">
        <v>3000000</v>
      </c>
      <c r="C237" s="3" t="s">
        <v>14</v>
      </c>
      <c r="D237" s="4">
        <v>45748</v>
      </c>
      <c r="E237" s="4">
        <v>45808</v>
      </c>
      <c r="F237" s="3" t="s">
        <v>557</v>
      </c>
      <c r="G237" s="3" t="s">
        <v>21</v>
      </c>
      <c r="H237" s="3">
        <v>1089243630</v>
      </c>
      <c r="I237" s="3" t="s">
        <v>334</v>
      </c>
      <c r="J237" s="3">
        <v>59836926</v>
      </c>
      <c r="K237" s="3" t="s">
        <v>367</v>
      </c>
      <c r="L237" s="6">
        <v>6000000</v>
      </c>
      <c r="M237" s="6">
        <f t="shared" si="0"/>
        <v>-3000000</v>
      </c>
      <c r="N237" s="6"/>
    </row>
    <row r="238" spans="1:26" ht="15.75" hidden="1" customHeight="1" x14ac:dyDescent="0.25">
      <c r="A238" s="3" t="s">
        <v>558</v>
      </c>
      <c r="B238" s="6">
        <v>3000000</v>
      </c>
      <c r="C238" s="3" t="s">
        <v>14</v>
      </c>
      <c r="D238" s="4">
        <v>45749</v>
      </c>
      <c r="E238" s="4">
        <v>45808</v>
      </c>
      <c r="F238" s="3" t="s">
        <v>557</v>
      </c>
      <c r="G238" s="3" t="s">
        <v>21</v>
      </c>
      <c r="H238" s="3">
        <v>13070330</v>
      </c>
      <c r="I238" s="3" t="s">
        <v>559</v>
      </c>
      <c r="J238" s="3">
        <v>43624414</v>
      </c>
      <c r="K238" s="3" t="s">
        <v>526</v>
      </c>
      <c r="L238" s="6">
        <v>6000000</v>
      </c>
      <c r="M238" s="6">
        <f t="shared" si="0"/>
        <v>-3000000</v>
      </c>
      <c r="N238" s="6"/>
    </row>
    <row r="239" spans="1:26" ht="15.75" hidden="1" customHeight="1" x14ac:dyDescent="0.25">
      <c r="A239" s="3" t="s">
        <v>560</v>
      </c>
      <c r="B239" s="6">
        <v>3000000</v>
      </c>
      <c r="C239" s="3" t="s">
        <v>14</v>
      </c>
      <c r="D239" s="4">
        <v>45749</v>
      </c>
      <c r="E239" s="4">
        <v>45808</v>
      </c>
      <c r="F239" s="3" t="s">
        <v>551</v>
      </c>
      <c r="G239" s="3" t="s">
        <v>21</v>
      </c>
      <c r="H239" s="3">
        <v>1086328142</v>
      </c>
      <c r="I239" s="3" t="s">
        <v>561</v>
      </c>
      <c r="J239" s="3">
        <v>98333941</v>
      </c>
      <c r="K239" s="3" t="s">
        <v>26</v>
      </c>
      <c r="L239" s="6">
        <v>6000000</v>
      </c>
      <c r="M239" s="6">
        <f t="shared" si="0"/>
        <v>-3000000</v>
      </c>
      <c r="N239" s="6"/>
    </row>
    <row r="240" spans="1:26" ht="15.75" hidden="1" customHeight="1" x14ac:dyDescent="0.25">
      <c r="A240" s="3" t="s">
        <v>562</v>
      </c>
      <c r="B240" s="6">
        <v>3000000</v>
      </c>
      <c r="C240" s="3" t="s">
        <v>14</v>
      </c>
      <c r="D240" s="4">
        <v>45749</v>
      </c>
      <c r="E240" s="4">
        <v>45808</v>
      </c>
      <c r="F240" s="3" t="s">
        <v>557</v>
      </c>
      <c r="G240" s="3" t="s">
        <v>21</v>
      </c>
      <c r="H240" s="3">
        <v>1004234290</v>
      </c>
      <c r="I240" s="3" t="s">
        <v>39</v>
      </c>
      <c r="J240" s="3">
        <v>98390119</v>
      </c>
      <c r="K240" s="3" t="s">
        <v>33</v>
      </c>
      <c r="L240" s="6">
        <v>6000000</v>
      </c>
      <c r="M240" s="6">
        <f t="shared" si="0"/>
        <v>-3000000</v>
      </c>
      <c r="N240" s="6"/>
    </row>
    <row r="241" spans="1:14" ht="15.75" hidden="1" customHeight="1" x14ac:dyDescent="0.25">
      <c r="A241" s="3" t="s">
        <v>563</v>
      </c>
      <c r="B241" s="6">
        <v>3000000</v>
      </c>
      <c r="C241" s="3" t="s">
        <v>14</v>
      </c>
      <c r="D241" s="4">
        <v>45749</v>
      </c>
      <c r="E241" s="4">
        <v>45808</v>
      </c>
      <c r="F241" s="3" t="s">
        <v>551</v>
      </c>
      <c r="G241" s="3" t="s">
        <v>21</v>
      </c>
      <c r="H241" s="3">
        <v>1085317833</v>
      </c>
      <c r="I241" s="3" t="s">
        <v>564</v>
      </c>
      <c r="J241" s="3">
        <v>98333941</v>
      </c>
      <c r="K241" s="3" t="s">
        <v>26</v>
      </c>
      <c r="L241" s="6">
        <v>6000000</v>
      </c>
      <c r="M241" s="6">
        <f t="shared" si="0"/>
        <v>-3000000</v>
      </c>
      <c r="N241" s="6"/>
    </row>
    <row r="242" spans="1:14" ht="15.75" hidden="1" customHeight="1" x14ac:dyDescent="0.25">
      <c r="A242" s="3" t="s">
        <v>565</v>
      </c>
      <c r="B242" s="6">
        <v>3000000</v>
      </c>
      <c r="C242" s="3" t="s">
        <v>14</v>
      </c>
      <c r="D242" s="4">
        <v>45749</v>
      </c>
      <c r="E242" s="4">
        <v>45808</v>
      </c>
      <c r="F242" s="3" t="s">
        <v>551</v>
      </c>
      <c r="G242" s="3" t="s">
        <v>21</v>
      </c>
      <c r="H242" s="3">
        <v>59833899</v>
      </c>
      <c r="I242" s="3" t="s">
        <v>566</v>
      </c>
      <c r="J242" s="3">
        <v>98333941</v>
      </c>
      <c r="K242" s="3" t="s">
        <v>26</v>
      </c>
      <c r="L242" s="6">
        <v>6000000</v>
      </c>
      <c r="M242" s="6">
        <f t="shared" si="0"/>
        <v>-3000000</v>
      </c>
      <c r="N242" s="6"/>
    </row>
    <row r="243" spans="1:14" ht="15.75" hidden="1" customHeight="1" x14ac:dyDescent="0.25">
      <c r="A243" s="3" t="s">
        <v>567</v>
      </c>
      <c r="B243" s="6">
        <v>3000000</v>
      </c>
      <c r="C243" s="3" t="s">
        <v>14</v>
      </c>
      <c r="D243" s="4">
        <v>45749</v>
      </c>
      <c r="E243" s="4">
        <v>45808</v>
      </c>
      <c r="F243" s="3" t="s">
        <v>551</v>
      </c>
      <c r="G243" s="3" t="s">
        <v>21</v>
      </c>
      <c r="H243" s="3">
        <v>1233188273</v>
      </c>
      <c r="I243" s="3" t="s">
        <v>568</v>
      </c>
      <c r="J243" s="3">
        <v>98390119</v>
      </c>
      <c r="K243" s="3" t="s">
        <v>33</v>
      </c>
      <c r="L243" s="6">
        <v>6000000</v>
      </c>
      <c r="M243" s="6">
        <f t="shared" si="0"/>
        <v>-3000000</v>
      </c>
      <c r="N243" s="6"/>
    </row>
    <row r="244" spans="1:14" ht="15.75" hidden="1" customHeight="1" x14ac:dyDescent="0.25">
      <c r="A244" s="3" t="s">
        <v>569</v>
      </c>
      <c r="B244" s="6">
        <v>3000000</v>
      </c>
      <c r="C244" s="3" t="s">
        <v>14</v>
      </c>
      <c r="D244" s="4">
        <v>45749</v>
      </c>
      <c r="E244" s="4">
        <v>45808</v>
      </c>
      <c r="F244" s="3" t="s">
        <v>551</v>
      </c>
      <c r="G244" s="3" t="s">
        <v>21</v>
      </c>
      <c r="H244" s="3">
        <v>37084285</v>
      </c>
      <c r="I244" s="3" t="s">
        <v>95</v>
      </c>
      <c r="J244" s="3">
        <v>59836926</v>
      </c>
      <c r="K244" s="3" t="s">
        <v>367</v>
      </c>
      <c r="L244" s="6">
        <v>6000000</v>
      </c>
      <c r="M244" s="6">
        <f t="shared" si="0"/>
        <v>-3000000</v>
      </c>
      <c r="N244" s="6"/>
    </row>
    <row r="245" spans="1:14" ht="15.75" hidden="1" customHeight="1" x14ac:dyDescent="0.25">
      <c r="A245" s="3" t="s">
        <v>570</v>
      </c>
      <c r="B245" s="6">
        <v>6000000</v>
      </c>
      <c r="C245" s="3" t="s">
        <v>14</v>
      </c>
      <c r="D245" s="4">
        <v>45748</v>
      </c>
      <c r="E245" s="4">
        <v>45777</v>
      </c>
      <c r="F245" s="3" t="s">
        <v>571</v>
      </c>
      <c r="G245" s="3" t="s">
        <v>21</v>
      </c>
      <c r="H245" s="3">
        <v>1085292185</v>
      </c>
      <c r="I245" s="3" t="s">
        <v>398</v>
      </c>
      <c r="J245" s="3">
        <v>13016581</v>
      </c>
      <c r="K245" s="3" t="s">
        <v>81</v>
      </c>
      <c r="L245" s="6">
        <v>6000000</v>
      </c>
      <c r="M245" s="6">
        <f t="shared" si="0"/>
        <v>0</v>
      </c>
      <c r="N245" s="6"/>
    </row>
    <row r="246" spans="1:14" ht="15.75" hidden="1" customHeight="1" x14ac:dyDescent="0.25">
      <c r="A246" s="3" t="s">
        <v>572</v>
      </c>
      <c r="B246" s="6">
        <v>3000000</v>
      </c>
      <c r="C246" s="3" t="s">
        <v>14</v>
      </c>
      <c r="D246" s="4">
        <v>45750</v>
      </c>
      <c r="E246" s="4">
        <v>45808</v>
      </c>
      <c r="F246" s="3" t="s">
        <v>557</v>
      </c>
      <c r="G246" s="3" t="s">
        <v>21</v>
      </c>
      <c r="H246" s="3">
        <v>98391531</v>
      </c>
      <c r="I246" s="3" t="s">
        <v>573</v>
      </c>
      <c r="J246" s="3">
        <v>98333941</v>
      </c>
      <c r="K246" s="3" t="s">
        <v>26</v>
      </c>
      <c r="L246" s="6">
        <v>6000000</v>
      </c>
      <c r="M246" s="6">
        <f t="shared" si="0"/>
        <v>-3000000</v>
      </c>
      <c r="N246" s="6"/>
    </row>
    <row r="247" spans="1:14" ht="15.75" hidden="1" customHeight="1" x14ac:dyDescent="0.25">
      <c r="A247" s="3" t="s">
        <v>574</v>
      </c>
      <c r="B247" s="6">
        <v>3000000</v>
      </c>
      <c r="C247" s="3" t="s">
        <v>14</v>
      </c>
      <c r="D247" s="4">
        <v>45750</v>
      </c>
      <c r="E247" s="4">
        <v>45808</v>
      </c>
      <c r="F247" s="3" t="s">
        <v>575</v>
      </c>
      <c r="G247" s="3" t="s">
        <v>21</v>
      </c>
      <c r="H247" s="3">
        <v>1085326791</v>
      </c>
      <c r="I247" s="3" t="s">
        <v>576</v>
      </c>
      <c r="J247" s="3">
        <v>98333941</v>
      </c>
      <c r="K247" s="3" t="s">
        <v>26</v>
      </c>
      <c r="L247" s="6">
        <v>6000000</v>
      </c>
      <c r="M247" s="6">
        <f t="shared" si="0"/>
        <v>-3000000</v>
      </c>
      <c r="N247" s="6"/>
    </row>
    <row r="248" spans="1:14" ht="15.75" hidden="1" customHeight="1" x14ac:dyDescent="0.25">
      <c r="A248" s="3" t="s">
        <v>577</v>
      </c>
      <c r="B248" s="6">
        <v>3000000</v>
      </c>
      <c r="C248" s="3" t="s">
        <v>14</v>
      </c>
      <c r="D248" s="4">
        <v>45750</v>
      </c>
      <c r="E248" s="4">
        <v>45808</v>
      </c>
      <c r="F248" s="3" t="s">
        <v>551</v>
      </c>
      <c r="G248" s="3" t="s">
        <v>21</v>
      </c>
      <c r="H248" s="3" t="s">
        <v>578</v>
      </c>
      <c r="I248" s="3" t="s">
        <v>579</v>
      </c>
      <c r="J248" s="3">
        <v>98390119</v>
      </c>
      <c r="K248" s="3" t="s">
        <v>33</v>
      </c>
      <c r="L248" s="6">
        <v>6000000</v>
      </c>
      <c r="M248" s="6">
        <f t="shared" si="0"/>
        <v>-3000000</v>
      </c>
      <c r="N248" s="6"/>
    </row>
    <row r="249" spans="1:14" ht="15.75" hidden="1" customHeight="1" x14ac:dyDescent="0.25">
      <c r="A249" s="3" t="s">
        <v>580</v>
      </c>
      <c r="B249" s="6">
        <v>3000000</v>
      </c>
      <c r="C249" s="3" t="s">
        <v>14</v>
      </c>
      <c r="D249" s="4">
        <v>45750</v>
      </c>
      <c r="E249" s="4">
        <v>45808</v>
      </c>
      <c r="F249" s="3" t="s">
        <v>551</v>
      </c>
      <c r="G249" s="3" t="s">
        <v>21</v>
      </c>
      <c r="H249" s="3">
        <v>1233191675</v>
      </c>
      <c r="I249" s="3" t="s">
        <v>581</v>
      </c>
      <c r="J249" s="3">
        <v>43624414</v>
      </c>
      <c r="K249" s="3" t="s">
        <v>526</v>
      </c>
      <c r="L249" s="6">
        <v>6000000</v>
      </c>
      <c r="M249" s="6">
        <f t="shared" si="0"/>
        <v>-3000000</v>
      </c>
      <c r="N249" s="6"/>
    </row>
    <row r="250" spans="1:14" ht="15.75" hidden="1" customHeight="1" x14ac:dyDescent="0.25">
      <c r="A250" s="3" t="s">
        <v>582</v>
      </c>
      <c r="B250" s="6">
        <v>3000000</v>
      </c>
      <c r="C250" s="3" t="s">
        <v>14</v>
      </c>
      <c r="D250" s="4">
        <v>45750</v>
      </c>
      <c r="E250" s="4">
        <v>45808</v>
      </c>
      <c r="F250" s="3" t="s">
        <v>557</v>
      </c>
      <c r="G250" s="3" t="s">
        <v>21</v>
      </c>
      <c r="H250" s="3">
        <v>1004535234</v>
      </c>
      <c r="I250" s="3" t="s">
        <v>583</v>
      </c>
      <c r="J250" s="3">
        <v>43624414</v>
      </c>
      <c r="K250" s="3" t="s">
        <v>526</v>
      </c>
      <c r="L250" s="6">
        <v>6000000</v>
      </c>
      <c r="M250" s="6">
        <f t="shared" si="0"/>
        <v>-3000000</v>
      </c>
      <c r="N250" s="6"/>
    </row>
    <row r="251" spans="1:14" ht="15.75" hidden="1" customHeight="1" x14ac:dyDescent="0.25">
      <c r="A251" s="3" t="s">
        <v>584</v>
      </c>
      <c r="B251" s="6">
        <v>3000000</v>
      </c>
      <c r="C251" s="3" t="s">
        <v>14</v>
      </c>
      <c r="D251" s="4">
        <v>45750</v>
      </c>
      <c r="E251" s="4">
        <v>45808</v>
      </c>
      <c r="F251" s="3" t="s">
        <v>551</v>
      </c>
      <c r="G251" s="3" t="s">
        <v>21</v>
      </c>
      <c r="H251" s="3">
        <v>1081572043</v>
      </c>
      <c r="I251" s="3" t="s">
        <v>585</v>
      </c>
      <c r="J251" s="3">
        <v>98390119</v>
      </c>
      <c r="K251" s="3" t="s">
        <v>33</v>
      </c>
      <c r="L251" s="6">
        <v>6000000</v>
      </c>
      <c r="M251" s="6">
        <f t="shared" si="0"/>
        <v>-3000000</v>
      </c>
      <c r="N251" s="6"/>
    </row>
    <row r="252" spans="1:14" ht="15.75" hidden="1" customHeight="1" x14ac:dyDescent="0.25">
      <c r="A252" s="3" t="s">
        <v>586</v>
      </c>
      <c r="B252" s="6">
        <v>3000000</v>
      </c>
      <c r="C252" s="3" t="s">
        <v>14</v>
      </c>
      <c r="D252" s="4">
        <v>45750</v>
      </c>
      <c r="E252" s="4">
        <v>45808</v>
      </c>
      <c r="F252" s="3" t="s">
        <v>587</v>
      </c>
      <c r="G252" s="3" t="s">
        <v>21</v>
      </c>
      <c r="H252" s="3">
        <v>1085252263</v>
      </c>
      <c r="I252" s="3" t="s">
        <v>339</v>
      </c>
      <c r="J252" s="3">
        <v>59836926</v>
      </c>
      <c r="K252" s="3" t="s">
        <v>367</v>
      </c>
      <c r="L252" s="6">
        <v>6000000</v>
      </c>
      <c r="M252" s="6">
        <f t="shared" si="0"/>
        <v>-3000000</v>
      </c>
      <c r="N252" s="6"/>
    </row>
    <row r="253" spans="1:14" ht="15.75" hidden="1" customHeight="1" x14ac:dyDescent="0.25">
      <c r="A253" s="3" t="s">
        <v>588</v>
      </c>
      <c r="B253" s="6">
        <v>3000000</v>
      </c>
      <c r="C253" s="3" t="s">
        <v>14</v>
      </c>
      <c r="D253" s="4">
        <v>45750</v>
      </c>
      <c r="E253" s="4">
        <v>45808</v>
      </c>
      <c r="F253" s="3" t="s">
        <v>557</v>
      </c>
      <c r="G253" s="3" t="s">
        <v>21</v>
      </c>
      <c r="H253" s="3">
        <v>1004232508</v>
      </c>
      <c r="I253" s="3" t="s">
        <v>287</v>
      </c>
      <c r="J253" s="3">
        <v>98390119</v>
      </c>
      <c r="K253" s="3" t="s">
        <v>33</v>
      </c>
      <c r="L253" s="6">
        <v>6000000</v>
      </c>
      <c r="M253" s="6">
        <f t="shared" si="0"/>
        <v>-3000000</v>
      </c>
      <c r="N253" s="6"/>
    </row>
    <row r="254" spans="1:14" ht="15.75" hidden="1" customHeight="1" x14ac:dyDescent="0.25">
      <c r="A254" s="3" t="s">
        <v>589</v>
      </c>
      <c r="B254" s="6">
        <v>3000000</v>
      </c>
      <c r="C254" s="3" t="s">
        <v>14</v>
      </c>
      <c r="D254" s="4">
        <v>45750</v>
      </c>
      <c r="E254" s="4">
        <v>45808</v>
      </c>
      <c r="F254" s="3" t="s">
        <v>551</v>
      </c>
      <c r="G254" s="3" t="s">
        <v>21</v>
      </c>
      <c r="H254" s="3">
        <v>1086223299</v>
      </c>
      <c r="I254" s="3" t="s">
        <v>590</v>
      </c>
      <c r="J254" s="3">
        <v>59836926</v>
      </c>
      <c r="K254" s="3" t="s">
        <v>367</v>
      </c>
      <c r="L254" s="6">
        <v>6000000</v>
      </c>
      <c r="M254" s="6">
        <f t="shared" si="0"/>
        <v>-3000000</v>
      </c>
      <c r="N254" s="6"/>
    </row>
    <row r="255" spans="1:14" ht="15.75" hidden="1" customHeight="1" x14ac:dyDescent="0.25">
      <c r="A255" s="3" t="s">
        <v>591</v>
      </c>
      <c r="B255" s="6">
        <v>3000000</v>
      </c>
      <c r="C255" s="3" t="s">
        <v>14</v>
      </c>
      <c r="D255" s="4">
        <v>45751</v>
      </c>
      <c r="E255" s="4">
        <v>45808</v>
      </c>
      <c r="F255" s="3" t="s">
        <v>592</v>
      </c>
      <c r="G255" s="3" t="s">
        <v>21</v>
      </c>
      <c r="H255" s="3" t="s">
        <v>593</v>
      </c>
      <c r="I255" s="3" t="s">
        <v>594</v>
      </c>
      <c r="J255" s="3">
        <v>43624414</v>
      </c>
      <c r="K255" s="3" t="s">
        <v>526</v>
      </c>
      <c r="L255" s="6">
        <v>6000000</v>
      </c>
      <c r="M255" s="6">
        <f t="shared" si="0"/>
        <v>-3000000</v>
      </c>
      <c r="N255" s="6"/>
    </row>
    <row r="256" spans="1:14" ht="15.75" hidden="1" customHeight="1" x14ac:dyDescent="0.25">
      <c r="A256" s="3" t="s">
        <v>595</v>
      </c>
      <c r="B256" s="6">
        <v>3000000</v>
      </c>
      <c r="C256" s="3" t="s">
        <v>14</v>
      </c>
      <c r="D256" s="4">
        <v>45751</v>
      </c>
      <c r="E256" s="4">
        <v>45808</v>
      </c>
      <c r="F256" s="3" t="s">
        <v>592</v>
      </c>
      <c r="G256" s="3" t="s">
        <v>21</v>
      </c>
      <c r="H256" s="3">
        <v>1004598784</v>
      </c>
      <c r="I256" s="3" t="s">
        <v>596</v>
      </c>
      <c r="J256" s="3">
        <v>43624414</v>
      </c>
      <c r="K256" s="3" t="s">
        <v>526</v>
      </c>
      <c r="L256" s="6">
        <v>6000000</v>
      </c>
      <c r="M256" s="6">
        <f t="shared" si="0"/>
        <v>-3000000</v>
      </c>
      <c r="N256" s="6"/>
    </row>
    <row r="257" spans="1:14" ht="15.75" hidden="1" customHeight="1" x14ac:dyDescent="0.25">
      <c r="A257" s="3" t="s">
        <v>597</v>
      </c>
      <c r="B257" s="6">
        <v>3000000</v>
      </c>
      <c r="C257" s="3" t="s">
        <v>14</v>
      </c>
      <c r="D257" s="4">
        <v>45751</v>
      </c>
      <c r="E257" s="4">
        <v>45808</v>
      </c>
      <c r="F257" s="3" t="s">
        <v>551</v>
      </c>
      <c r="G257" s="3" t="s">
        <v>21</v>
      </c>
      <c r="H257" s="3">
        <v>98382500</v>
      </c>
      <c r="I257" s="3" t="s">
        <v>598</v>
      </c>
      <c r="J257" s="3">
        <v>98333941</v>
      </c>
      <c r="K257" s="3" t="s">
        <v>26</v>
      </c>
      <c r="L257" s="6">
        <v>6000000</v>
      </c>
      <c r="M257" s="6">
        <f t="shared" ref="M257:M314" si="1">B257-L257</f>
        <v>-3000000</v>
      </c>
      <c r="N257" s="6"/>
    </row>
    <row r="258" spans="1:14" ht="15.75" hidden="1" customHeight="1" x14ac:dyDescent="0.25">
      <c r="A258" s="3" t="s">
        <v>599</v>
      </c>
      <c r="B258" s="6">
        <v>3000000</v>
      </c>
      <c r="C258" s="3" t="s">
        <v>14</v>
      </c>
      <c r="D258" s="4">
        <v>45751</v>
      </c>
      <c r="E258" s="4">
        <v>45808</v>
      </c>
      <c r="F258" s="3" t="s">
        <v>600</v>
      </c>
      <c r="G258" s="3" t="s">
        <v>21</v>
      </c>
      <c r="H258" s="3">
        <v>1081592303</v>
      </c>
      <c r="I258" s="3" t="s">
        <v>601</v>
      </c>
      <c r="J258" s="3">
        <v>43624414</v>
      </c>
      <c r="K258" s="3" t="s">
        <v>526</v>
      </c>
      <c r="L258" s="6">
        <v>6000000</v>
      </c>
      <c r="M258" s="6">
        <f t="shared" si="1"/>
        <v>-3000000</v>
      </c>
      <c r="N258" s="6"/>
    </row>
    <row r="259" spans="1:14" ht="15.75" hidden="1" customHeight="1" x14ac:dyDescent="0.25">
      <c r="A259" s="3" t="s">
        <v>602</v>
      </c>
      <c r="B259" s="6">
        <v>3000000</v>
      </c>
      <c r="C259" s="3" t="s">
        <v>14</v>
      </c>
      <c r="D259" s="4">
        <v>45751</v>
      </c>
      <c r="E259" s="4">
        <v>45808</v>
      </c>
      <c r="F259" s="3" t="s">
        <v>551</v>
      </c>
      <c r="G259" s="3" t="s">
        <v>21</v>
      </c>
      <c r="H259" s="3">
        <v>1030606749</v>
      </c>
      <c r="I259" s="3" t="s">
        <v>22</v>
      </c>
      <c r="J259" s="3">
        <v>98333941</v>
      </c>
      <c r="K259" s="3" t="s">
        <v>26</v>
      </c>
      <c r="L259" s="6">
        <v>6000000</v>
      </c>
      <c r="M259" s="6">
        <f t="shared" si="1"/>
        <v>-3000000</v>
      </c>
      <c r="N259" s="6"/>
    </row>
    <row r="260" spans="1:14" ht="15.75" hidden="1" customHeight="1" x14ac:dyDescent="0.25">
      <c r="A260" s="3" t="s">
        <v>603</v>
      </c>
      <c r="B260" s="6">
        <v>3000000</v>
      </c>
      <c r="C260" s="3" t="s">
        <v>14</v>
      </c>
      <c r="D260" s="4">
        <v>45751</v>
      </c>
      <c r="E260" s="4">
        <v>45808</v>
      </c>
      <c r="F260" s="3" t="s">
        <v>592</v>
      </c>
      <c r="G260" s="3" t="s">
        <v>21</v>
      </c>
      <c r="H260" s="3">
        <v>1085318688</v>
      </c>
      <c r="I260" s="3" t="s">
        <v>91</v>
      </c>
      <c r="J260" s="3">
        <v>98333941</v>
      </c>
      <c r="K260" s="3" t="s">
        <v>26</v>
      </c>
      <c r="L260" s="6">
        <v>6000000</v>
      </c>
      <c r="M260" s="6">
        <f t="shared" si="1"/>
        <v>-3000000</v>
      </c>
      <c r="N260" s="6"/>
    </row>
    <row r="261" spans="1:14" ht="15.75" hidden="1" customHeight="1" x14ac:dyDescent="0.25">
      <c r="A261" s="3" t="s">
        <v>604</v>
      </c>
      <c r="B261" s="6">
        <v>3000000</v>
      </c>
      <c r="C261" s="3" t="s">
        <v>14</v>
      </c>
      <c r="D261" s="4">
        <v>45751</v>
      </c>
      <c r="E261" s="4">
        <v>45808</v>
      </c>
      <c r="F261" s="3" t="s">
        <v>557</v>
      </c>
      <c r="G261" s="3" t="s">
        <v>21</v>
      </c>
      <c r="H261" s="3">
        <v>13069881</v>
      </c>
      <c r="I261" s="3" t="s">
        <v>605</v>
      </c>
      <c r="J261" s="3">
        <v>98390119</v>
      </c>
      <c r="K261" s="3" t="s">
        <v>33</v>
      </c>
      <c r="L261" s="6">
        <v>6000000</v>
      </c>
      <c r="M261" s="6">
        <f t="shared" si="1"/>
        <v>-3000000</v>
      </c>
      <c r="N261" s="6"/>
    </row>
    <row r="262" spans="1:14" ht="15.75" hidden="1" customHeight="1" x14ac:dyDescent="0.25">
      <c r="A262" s="3" t="s">
        <v>606</v>
      </c>
      <c r="B262" s="6">
        <v>3000000</v>
      </c>
      <c r="C262" s="3" t="s">
        <v>14</v>
      </c>
      <c r="D262" s="4">
        <v>45755</v>
      </c>
      <c r="E262" s="4">
        <v>45808</v>
      </c>
      <c r="F262" s="3" t="s">
        <v>557</v>
      </c>
      <c r="G262" s="3" t="s">
        <v>21</v>
      </c>
      <c r="H262" s="3">
        <v>1004235479</v>
      </c>
      <c r="I262" s="3" t="s">
        <v>607</v>
      </c>
      <c r="J262" s="3">
        <v>98333941</v>
      </c>
      <c r="K262" s="3" t="s">
        <v>26</v>
      </c>
      <c r="L262" s="6">
        <v>6000000</v>
      </c>
      <c r="M262" s="6">
        <f t="shared" si="1"/>
        <v>-3000000</v>
      </c>
      <c r="N262" s="6"/>
    </row>
    <row r="263" spans="1:14" ht="15.75" hidden="1" customHeight="1" x14ac:dyDescent="0.25">
      <c r="A263" s="3" t="s">
        <v>608</v>
      </c>
      <c r="B263" s="6">
        <v>3000000</v>
      </c>
      <c r="C263" s="3" t="s">
        <v>14</v>
      </c>
      <c r="D263" s="4">
        <v>45756</v>
      </c>
      <c r="E263" s="4">
        <v>45808</v>
      </c>
      <c r="F263" s="3" t="s">
        <v>551</v>
      </c>
      <c r="G263" s="3" t="s">
        <v>21</v>
      </c>
      <c r="H263" s="3">
        <v>1004216993</v>
      </c>
      <c r="I263" s="3" t="s">
        <v>609</v>
      </c>
      <c r="J263" s="3">
        <v>43624414</v>
      </c>
      <c r="K263" s="3" t="s">
        <v>526</v>
      </c>
      <c r="L263" s="6">
        <v>6000000</v>
      </c>
      <c r="M263" s="6">
        <f t="shared" si="1"/>
        <v>-3000000</v>
      </c>
      <c r="N263" s="6"/>
    </row>
    <row r="264" spans="1:14" ht="15.75" hidden="1" customHeight="1" x14ac:dyDescent="0.25">
      <c r="A264" s="3" t="s">
        <v>610</v>
      </c>
      <c r="B264" s="6">
        <v>3000000</v>
      </c>
      <c r="C264" s="3" t="s">
        <v>14</v>
      </c>
      <c r="D264" s="4">
        <v>45756</v>
      </c>
      <c r="E264" s="4">
        <v>45808</v>
      </c>
      <c r="F264" s="3" t="s">
        <v>557</v>
      </c>
      <c r="G264" s="3" t="s">
        <v>21</v>
      </c>
      <c r="H264" s="3">
        <v>27388522</v>
      </c>
      <c r="I264" s="3" t="s">
        <v>611</v>
      </c>
      <c r="J264" s="3">
        <v>43624414</v>
      </c>
      <c r="K264" s="3" t="s">
        <v>526</v>
      </c>
      <c r="L264" s="6">
        <v>6000000</v>
      </c>
      <c r="M264" s="6">
        <f t="shared" si="1"/>
        <v>-3000000</v>
      </c>
      <c r="N264" s="6"/>
    </row>
    <row r="265" spans="1:14" ht="15.75" hidden="1" customHeight="1" x14ac:dyDescent="0.25">
      <c r="A265" s="3" t="s">
        <v>612</v>
      </c>
      <c r="B265" s="6">
        <v>3000000</v>
      </c>
      <c r="C265" s="3" t="s">
        <v>14</v>
      </c>
      <c r="D265" s="4">
        <v>45756</v>
      </c>
      <c r="E265" s="4">
        <v>45808</v>
      </c>
      <c r="F265" s="3" t="s">
        <v>613</v>
      </c>
      <c r="G265" s="3" t="s">
        <v>21</v>
      </c>
      <c r="H265" s="3">
        <v>1085286742</v>
      </c>
      <c r="I265" s="3" t="s">
        <v>237</v>
      </c>
      <c r="J265" s="3">
        <v>43624414</v>
      </c>
      <c r="K265" s="3" t="s">
        <v>526</v>
      </c>
      <c r="L265" s="6">
        <v>6000000</v>
      </c>
      <c r="M265" s="6">
        <f t="shared" si="1"/>
        <v>-3000000</v>
      </c>
      <c r="N265" s="6"/>
    </row>
    <row r="266" spans="1:14" ht="15.75" hidden="1" customHeight="1" x14ac:dyDescent="0.25">
      <c r="A266" s="3" t="s">
        <v>614</v>
      </c>
      <c r="B266" s="6">
        <v>3000000</v>
      </c>
      <c r="C266" s="3" t="s">
        <v>14</v>
      </c>
      <c r="D266" s="4">
        <v>45757</v>
      </c>
      <c r="E266" s="4">
        <v>45808</v>
      </c>
      <c r="F266" s="3" t="s">
        <v>615</v>
      </c>
      <c r="G266" s="3" t="s">
        <v>21</v>
      </c>
      <c r="H266" s="3">
        <v>1082747438</v>
      </c>
      <c r="I266" s="3" t="s">
        <v>616</v>
      </c>
      <c r="J266" s="3">
        <v>98390119</v>
      </c>
      <c r="K266" s="3" t="s">
        <v>33</v>
      </c>
      <c r="L266" s="6">
        <v>6000000</v>
      </c>
      <c r="M266" s="6">
        <f t="shared" si="1"/>
        <v>-3000000</v>
      </c>
      <c r="N266" s="6"/>
    </row>
    <row r="267" spans="1:14" ht="15.75" hidden="1" customHeight="1" x14ac:dyDescent="0.25">
      <c r="A267" s="3" t="s">
        <v>617</v>
      </c>
      <c r="B267" s="6">
        <v>3000000</v>
      </c>
      <c r="C267" s="3" t="s">
        <v>14</v>
      </c>
      <c r="D267" s="4">
        <v>45757</v>
      </c>
      <c r="E267" s="4">
        <v>45808</v>
      </c>
      <c r="F267" s="3" t="s">
        <v>557</v>
      </c>
      <c r="G267" s="3" t="s">
        <v>21</v>
      </c>
      <c r="H267" s="3">
        <v>27436186</v>
      </c>
      <c r="I267" s="3" t="s">
        <v>618</v>
      </c>
      <c r="J267" s="3">
        <v>98333941</v>
      </c>
      <c r="K267" s="3" t="s">
        <v>26</v>
      </c>
      <c r="L267" s="6">
        <v>6000000</v>
      </c>
      <c r="M267" s="6">
        <f t="shared" si="1"/>
        <v>-3000000</v>
      </c>
      <c r="N267" s="6"/>
    </row>
    <row r="268" spans="1:14" ht="15.75" hidden="1" customHeight="1" x14ac:dyDescent="0.25">
      <c r="A268" s="3" t="s">
        <v>619</v>
      </c>
      <c r="B268" s="6">
        <v>3000000</v>
      </c>
      <c r="C268" s="3" t="s">
        <v>14</v>
      </c>
      <c r="D268" s="4">
        <v>45757</v>
      </c>
      <c r="E268" s="4">
        <v>45808</v>
      </c>
      <c r="F268" s="3" t="s">
        <v>620</v>
      </c>
      <c r="G268" s="3" t="s">
        <v>21</v>
      </c>
      <c r="H268" s="3">
        <v>37083324</v>
      </c>
      <c r="I268" s="3" t="s">
        <v>621</v>
      </c>
      <c r="J268" s="3">
        <v>98333941</v>
      </c>
      <c r="K268" s="3" t="s">
        <v>26</v>
      </c>
      <c r="L268" s="6">
        <v>6000000</v>
      </c>
      <c r="M268" s="6">
        <f t="shared" si="1"/>
        <v>-3000000</v>
      </c>
      <c r="N268" s="6"/>
    </row>
    <row r="269" spans="1:14" ht="15.75" hidden="1" customHeight="1" x14ac:dyDescent="0.25">
      <c r="A269" s="3" t="s">
        <v>622</v>
      </c>
      <c r="B269" s="6">
        <v>700000</v>
      </c>
      <c r="C269" s="3" t="s">
        <v>14</v>
      </c>
      <c r="D269" s="4">
        <v>45775</v>
      </c>
      <c r="E269" s="4">
        <v>45808</v>
      </c>
      <c r="F269" s="3" t="s">
        <v>549</v>
      </c>
      <c r="G269" s="3" t="s">
        <v>21</v>
      </c>
      <c r="H269" s="3">
        <v>69028150</v>
      </c>
      <c r="I269" s="3" t="s">
        <v>255</v>
      </c>
      <c r="J269" s="3">
        <v>43624414</v>
      </c>
      <c r="K269" s="3" t="s">
        <v>526</v>
      </c>
      <c r="L269" s="6">
        <v>3700000</v>
      </c>
      <c r="M269" s="6">
        <f t="shared" si="1"/>
        <v>-3000000</v>
      </c>
      <c r="N269" s="6"/>
    </row>
    <row r="270" spans="1:14" ht="15.75" hidden="1" customHeight="1" x14ac:dyDescent="0.25">
      <c r="A270" s="3" t="s">
        <v>623</v>
      </c>
      <c r="B270" s="6">
        <v>600000</v>
      </c>
      <c r="C270" s="3" t="s">
        <v>14</v>
      </c>
      <c r="D270" s="4">
        <v>45775</v>
      </c>
      <c r="E270" s="4">
        <v>45808</v>
      </c>
      <c r="F270" s="3" t="s">
        <v>557</v>
      </c>
      <c r="G270" s="3" t="s">
        <v>21</v>
      </c>
      <c r="H270" s="3">
        <v>59813323</v>
      </c>
      <c r="I270" s="3" t="s">
        <v>289</v>
      </c>
      <c r="J270" s="3">
        <v>43624414</v>
      </c>
      <c r="K270" s="3" t="s">
        <v>526</v>
      </c>
      <c r="L270" s="6">
        <v>3600000</v>
      </c>
      <c r="M270" s="6">
        <f t="shared" si="1"/>
        <v>-3000000</v>
      </c>
      <c r="N270" s="6"/>
    </row>
    <row r="271" spans="1:14" ht="15.75" hidden="1" customHeight="1" x14ac:dyDescent="0.25">
      <c r="A271" s="3" t="s">
        <v>624</v>
      </c>
      <c r="B271" s="6">
        <v>125428367</v>
      </c>
      <c r="C271" s="3" t="s">
        <v>14</v>
      </c>
      <c r="D271" s="4">
        <v>45387</v>
      </c>
      <c r="E271" s="4">
        <v>45400</v>
      </c>
      <c r="F271" s="3" t="s">
        <v>625</v>
      </c>
      <c r="G271" s="3" t="s">
        <v>16</v>
      </c>
      <c r="H271" s="3">
        <v>901374717</v>
      </c>
      <c r="I271" s="3" t="s">
        <v>626</v>
      </c>
      <c r="J271" s="3">
        <v>1004189613</v>
      </c>
      <c r="K271" s="3" t="s">
        <v>627</v>
      </c>
      <c r="L271" s="6">
        <v>128681402</v>
      </c>
      <c r="M271" s="6">
        <f t="shared" si="1"/>
        <v>-3253035</v>
      </c>
      <c r="N271" s="6"/>
    </row>
    <row r="272" spans="1:14" ht="15.75" hidden="1" customHeight="1" x14ac:dyDescent="0.25">
      <c r="A272" s="3" t="s">
        <v>628</v>
      </c>
      <c r="B272" s="6">
        <v>460000</v>
      </c>
      <c r="C272" s="3" t="s">
        <v>14</v>
      </c>
      <c r="D272" s="4">
        <v>45748</v>
      </c>
      <c r="E272" s="4">
        <v>45787</v>
      </c>
      <c r="F272" s="3" t="s">
        <v>629</v>
      </c>
      <c r="G272" s="3" t="s">
        <v>21</v>
      </c>
      <c r="H272" s="3">
        <v>1085324685</v>
      </c>
      <c r="I272" s="3" t="s">
        <v>630</v>
      </c>
      <c r="J272" s="3">
        <v>59836926</v>
      </c>
      <c r="K272" s="3" t="s">
        <v>367</v>
      </c>
      <c r="L272" s="6">
        <v>4000000</v>
      </c>
      <c r="M272" s="6">
        <f t="shared" si="1"/>
        <v>-3540000</v>
      </c>
      <c r="N272" s="6"/>
    </row>
    <row r="273" spans="1:14" ht="15.75" hidden="1" customHeight="1" x14ac:dyDescent="0.25">
      <c r="A273" s="3" t="s">
        <v>631</v>
      </c>
      <c r="B273" s="6">
        <v>3000000</v>
      </c>
      <c r="C273" s="3" t="s">
        <v>14</v>
      </c>
      <c r="D273" s="4">
        <v>45593</v>
      </c>
      <c r="E273" s="4">
        <v>45657</v>
      </c>
      <c r="F273" s="3" t="s">
        <v>632</v>
      </c>
      <c r="G273" s="3" t="s">
        <v>21</v>
      </c>
      <c r="H273" s="3">
        <v>1193035720</v>
      </c>
      <c r="I273" s="3" t="s">
        <v>633</v>
      </c>
      <c r="J273" s="3">
        <v>59822566</v>
      </c>
      <c r="K273" s="3" t="s">
        <v>23</v>
      </c>
      <c r="L273" s="6">
        <v>7100000</v>
      </c>
      <c r="M273" s="6">
        <f t="shared" si="1"/>
        <v>-4100000</v>
      </c>
      <c r="N273" s="6"/>
    </row>
    <row r="274" spans="1:14" ht="15.75" hidden="1" customHeight="1" x14ac:dyDescent="0.25">
      <c r="A274" s="3" t="s">
        <v>634</v>
      </c>
      <c r="B274" s="6">
        <v>4750000</v>
      </c>
      <c r="C274" s="3" t="s">
        <v>14</v>
      </c>
      <c r="D274" s="4">
        <v>45748</v>
      </c>
      <c r="E274" s="4">
        <v>45808</v>
      </c>
      <c r="F274" s="3" t="s">
        <v>540</v>
      </c>
      <c r="G274" s="3" t="s">
        <v>21</v>
      </c>
      <c r="H274" s="3">
        <v>1085303067</v>
      </c>
      <c r="I274" s="3" t="s">
        <v>193</v>
      </c>
      <c r="J274" s="3">
        <v>98333941</v>
      </c>
      <c r="K274" s="3" t="s">
        <v>26</v>
      </c>
      <c r="L274" s="6">
        <v>9500000</v>
      </c>
      <c r="M274" s="6">
        <f t="shared" si="1"/>
        <v>-4750000</v>
      </c>
      <c r="N274" s="6"/>
    </row>
    <row r="275" spans="1:14" ht="15.75" hidden="1" customHeight="1" x14ac:dyDescent="0.25">
      <c r="A275" s="3" t="s">
        <v>635</v>
      </c>
      <c r="B275" s="6">
        <v>4750000</v>
      </c>
      <c r="C275" s="3" t="s">
        <v>14</v>
      </c>
      <c r="D275" s="4">
        <v>45748</v>
      </c>
      <c r="E275" s="4">
        <v>45808</v>
      </c>
      <c r="F275" s="3" t="s">
        <v>636</v>
      </c>
      <c r="G275" s="3" t="s">
        <v>21</v>
      </c>
      <c r="H275" s="3">
        <v>59816986</v>
      </c>
      <c r="I275" s="3" t="s">
        <v>182</v>
      </c>
      <c r="J275" s="3">
        <v>98390119</v>
      </c>
      <c r="K275" s="3" t="s">
        <v>33</v>
      </c>
      <c r="L275" s="6">
        <v>9500000</v>
      </c>
      <c r="M275" s="6">
        <f t="shared" si="1"/>
        <v>-4750000</v>
      </c>
      <c r="N275" s="6"/>
    </row>
    <row r="276" spans="1:14" ht="15.75" hidden="1" customHeight="1" x14ac:dyDescent="0.25">
      <c r="A276" s="3" t="s">
        <v>637</v>
      </c>
      <c r="B276" s="6">
        <v>4750000</v>
      </c>
      <c r="C276" s="3" t="s">
        <v>14</v>
      </c>
      <c r="D276" s="4">
        <v>45748</v>
      </c>
      <c r="E276" s="4">
        <v>45808</v>
      </c>
      <c r="F276" s="3" t="s">
        <v>638</v>
      </c>
      <c r="G276" s="3" t="s">
        <v>21</v>
      </c>
      <c r="H276" s="3">
        <v>1193383306</v>
      </c>
      <c r="I276" s="3" t="s">
        <v>214</v>
      </c>
      <c r="J276" s="3">
        <v>59836926</v>
      </c>
      <c r="K276" s="3" t="s">
        <v>367</v>
      </c>
      <c r="L276" s="6">
        <v>9500000</v>
      </c>
      <c r="M276" s="6">
        <f t="shared" si="1"/>
        <v>-4750000</v>
      </c>
      <c r="N276" s="6"/>
    </row>
    <row r="277" spans="1:14" ht="15.75" hidden="1" customHeight="1" x14ac:dyDescent="0.25">
      <c r="A277" s="3" t="s">
        <v>639</v>
      </c>
      <c r="B277" s="6">
        <v>4750000</v>
      </c>
      <c r="C277" s="3" t="s">
        <v>14</v>
      </c>
      <c r="D277" s="4">
        <v>45748</v>
      </c>
      <c r="E277" s="4">
        <v>45808</v>
      </c>
      <c r="F277" s="3" t="s">
        <v>636</v>
      </c>
      <c r="G277" s="3" t="s">
        <v>21</v>
      </c>
      <c r="H277" s="3">
        <v>59551018</v>
      </c>
      <c r="I277" s="3" t="s">
        <v>640</v>
      </c>
      <c r="J277" s="3">
        <v>98333941</v>
      </c>
      <c r="K277" s="3" t="s">
        <v>26</v>
      </c>
      <c r="L277" s="6">
        <v>9500000</v>
      </c>
      <c r="M277" s="6">
        <f t="shared" si="1"/>
        <v>-4750000</v>
      </c>
      <c r="N277" s="6"/>
    </row>
    <row r="278" spans="1:14" ht="15.75" hidden="1" customHeight="1" x14ac:dyDescent="0.25">
      <c r="A278" s="3" t="s">
        <v>641</v>
      </c>
      <c r="B278" s="6">
        <v>4750000</v>
      </c>
      <c r="C278" s="3" t="s">
        <v>14</v>
      </c>
      <c r="D278" s="4">
        <v>45748</v>
      </c>
      <c r="E278" s="4">
        <v>45808</v>
      </c>
      <c r="F278" s="3" t="s">
        <v>636</v>
      </c>
      <c r="G278" s="3" t="s">
        <v>21</v>
      </c>
      <c r="H278" s="3">
        <v>1085313870</v>
      </c>
      <c r="I278" s="3" t="s">
        <v>642</v>
      </c>
      <c r="J278" s="3">
        <v>43624414</v>
      </c>
      <c r="K278" s="3" t="s">
        <v>526</v>
      </c>
      <c r="L278" s="6">
        <v>9500000</v>
      </c>
      <c r="M278" s="6">
        <f t="shared" si="1"/>
        <v>-4750000</v>
      </c>
      <c r="N278" s="6"/>
    </row>
    <row r="279" spans="1:14" ht="15.75" hidden="1" customHeight="1" x14ac:dyDescent="0.25">
      <c r="A279" s="3" t="s">
        <v>643</v>
      </c>
      <c r="B279" s="6">
        <v>4750000</v>
      </c>
      <c r="C279" s="3" t="s">
        <v>14</v>
      </c>
      <c r="D279" s="4">
        <v>45748</v>
      </c>
      <c r="E279" s="4">
        <v>45808</v>
      </c>
      <c r="F279" s="3" t="s">
        <v>636</v>
      </c>
      <c r="G279" s="3" t="s">
        <v>21</v>
      </c>
      <c r="H279" s="3">
        <v>59824313</v>
      </c>
      <c r="I279" s="3" t="s">
        <v>186</v>
      </c>
      <c r="J279" s="3">
        <v>98390119</v>
      </c>
      <c r="K279" s="3" t="s">
        <v>33</v>
      </c>
      <c r="L279" s="6">
        <v>9500000</v>
      </c>
      <c r="M279" s="6">
        <f t="shared" si="1"/>
        <v>-4750000</v>
      </c>
      <c r="N279" s="6"/>
    </row>
    <row r="280" spans="1:14" ht="15.75" hidden="1" customHeight="1" x14ac:dyDescent="0.25">
      <c r="A280" s="3" t="s">
        <v>644</v>
      </c>
      <c r="B280" s="6">
        <v>4750000</v>
      </c>
      <c r="C280" s="3" t="s">
        <v>14</v>
      </c>
      <c r="D280" s="4">
        <v>45750</v>
      </c>
      <c r="E280" s="4">
        <v>45808</v>
      </c>
      <c r="F280" s="3" t="s">
        <v>638</v>
      </c>
      <c r="G280" s="3" t="s">
        <v>21</v>
      </c>
      <c r="H280" s="3">
        <v>1085264667</v>
      </c>
      <c r="I280" s="3" t="s">
        <v>645</v>
      </c>
      <c r="J280" s="3">
        <v>59836926</v>
      </c>
      <c r="K280" s="3" t="s">
        <v>367</v>
      </c>
      <c r="L280" s="6">
        <v>9500000</v>
      </c>
      <c r="M280" s="6">
        <f t="shared" si="1"/>
        <v>-4750000</v>
      </c>
      <c r="N280" s="6"/>
    </row>
    <row r="281" spans="1:14" ht="15.75" hidden="1" customHeight="1" x14ac:dyDescent="0.25">
      <c r="A281" s="3" t="s">
        <v>646</v>
      </c>
      <c r="B281" s="6">
        <v>4750000</v>
      </c>
      <c r="C281" s="3" t="s">
        <v>14</v>
      </c>
      <c r="D281" s="4">
        <v>45750</v>
      </c>
      <c r="E281" s="4">
        <v>45808</v>
      </c>
      <c r="F281" s="3" t="s">
        <v>647</v>
      </c>
      <c r="G281" s="3" t="s">
        <v>21</v>
      </c>
      <c r="H281" s="3">
        <v>27190772</v>
      </c>
      <c r="I281" s="3" t="s">
        <v>648</v>
      </c>
      <c r="J281" s="3">
        <v>98333941</v>
      </c>
      <c r="K281" s="3" t="s">
        <v>26</v>
      </c>
      <c r="L281" s="6">
        <v>9500000</v>
      </c>
      <c r="M281" s="6">
        <f t="shared" si="1"/>
        <v>-4750000</v>
      </c>
      <c r="N281" s="6"/>
    </row>
    <row r="282" spans="1:14" ht="15.75" hidden="1" customHeight="1" x14ac:dyDescent="0.25">
      <c r="A282" s="3" t="s">
        <v>649</v>
      </c>
      <c r="B282" s="6">
        <v>4750000</v>
      </c>
      <c r="C282" s="3" t="s">
        <v>14</v>
      </c>
      <c r="D282" s="4">
        <v>45750</v>
      </c>
      <c r="E282" s="4">
        <v>45808</v>
      </c>
      <c r="F282" s="3" t="s">
        <v>636</v>
      </c>
      <c r="G282" s="3" t="s">
        <v>21</v>
      </c>
      <c r="H282" s="3">
        <v>27087475</v>
      </c>
      <c r="I282" s="3" t="s">
        <v>650</v>
      </c>
      <c r="J282" s="3">
        <v>59836926</v>
      </c>
      <c r="K282" s="3" t="s">
        <v>367</v>
      </c>
      <c r="L282" s="6">
        <v>9500000</v>
      </c>
      <c r="M282" s="6">
        <f t="shared" si="1"/>
        <v>-4750000</v>
      </c>
      <c r="N282" s="6"/>
    </row>
    <row r="283" spans="1:14" ht="15.75" hidden="1" customHeight="1" x14ac:dyDescent="0.25">
      <c r="A283" s="3" t="s">
        <v>651</v>
      </c>
      <c r="B283" s="6">
        <v>4750000</v>
      </c>
      <c r="C283" s="3" t="s">
        <v>14</v>
      </c>
      <c r="D283" s="4">
        <v>45750</v>
      </c>
      <c r="E283" s="4">
        <v>45808</v>
      </c>
      <c r="F283" s="3" t="s">
        <v>652</v>
      </c>
      <c r="G283" s="3" t="s">
        <v>21</v>
      </c>
      <c r="H283" s="3">
        <v>59312865</v>
      </c>
      <c r="I283" s="3" t="s">
        <v>184</v>
      </c>
      <c r="J283" s="3">
        <v>43624414</v>
      </c>
      <c r="K283" s="3" t="s">
        <v>526</v>
      </c>
      <c r="L283" s="6">
        <v>9500000</v>
      </c>
      <c r="M283" s="6">
        <f t="shared" si="1"/>
        <v>-4750000</v>
      </c>
      <c r="N283" s="6"/>
    </row>
    <row r="284" spans="1:14" ht="15.75" hidden="1" customHeight="1" x14ac:dyDescent="0.25">
      <c r="A284" s="3" t="s">
        <v>653</v>
      </c>
      <c r="B284" s="6">
        <v>5000000</v>
      </c>
      <c r="C284" s="3" t="s">
        <v>14</v>
      </c>
      <c r="D284" s="4">
        <v>45751</v>
      </c>
      <c r="E284" s="4">
        <v>45808</v>
      </c>
      <c r="F284" s="3" t="s">
        <v>654</v>
      </c>
      <c r="G284" s="3" t="s">
        <v>21</v>
      </c>
      <c r="H284" s="3">
        <v>59310145</v>
      </c>
      <c r="I284" s="3" t="s">
        <v>655</v>
      </c>
      <c r="J284" s="3">
        <v>98333941</v>
      </c>
      <c r="K284" s="3" t="s">
        <v>26</v>
      </c>
      <c r="L284" s="6">
        <v>5000000</v>
      </c>
      <c r="M284" s="6">
        <f t="shared" si="1"/>
        <v>0</v>
      </c>
      <c r="N284" s="6"/>
    </row>
    <row r="285" spans="1:14" ht="15.75" hidden="1" customHeight="1" x14ac:dyDescent="0.25">
      <c r="A285" s="3" t="s">
        <v>656</v>
      </c>
      <c r="B285" s="6">
        <v>4750000</v>
      </c>
      <c r="C285" s="3" t="s">
        <v>14</v>
      </c>
      <c r="D285" s="4">
        <v>45751</v>
      </c>
      <c r="E285" s="4">
        <v>45808</v>
      </c>
      <c r="F285" s="3" t="s">
        <v>636</v>
      </c>
      <c r="G285" s="3" t="s">
        <v>21</v>
      </c>
      <c r="H285" s="3">
        <v>1085260497</v>
      </c>
      <c r="I285" s="3" t="s">
        <v>42</v>
      </c>
      <c r="J285" s="3">
        <v>43624414</v>
      </c>
      <c r="K285" s="3" t="s">
        <v>526</v>
      </c>
      <c r="L285" s="6">
        <v>9500000</v>
      </c>
      <c r="M285" s="6">
        <f t="shared" si="1"/>
        <v>-4750000</v>
      </c>
      <c r="N285" s="6"/>
    </row>
    <row r="286" spans="1:14" ht="15.75" hidden="1" customHeight="1" x14ac:dyDescent="0.25">
      <c r="A286" s="3" t="s">
        <v>657</v>
      </c>
      <c r="B286" s="6">
        <v>4750000</v>
      </c>
      <c r="C286" s="3" t="s">
        <v>14</v>
      </c>
      <c r="D286" s="4">
        <v>45754</v>
      </c>
      <c r="E286" s="4">
        <v>45808</v>
      </c>
      <c r="F286" s="3" t="s">
        <v>638</v>
      </c>
      <c r="G286" s="3" t="s">
        <v>21</v>
      </c>
      <c r="H286" s="3">
        <v>1085331141</v>
      </c>
      <c r="I286" s="3" t="s">
        <v>658</v>
      </c>
      <c r="J286" s="3">
        <v>98333941</v>
      </c>
      <c r="K286" s="3" t="s">
        <v>26</v>
      </c>
      <c r="L286" s="6">
        <v>9500000</v>
      </c>
      <c r="M286" s="6">
        <f t="shared" si="1"/>
        <v>-4750000</v>
      </c>
      <c r="N286" s="6"/>
    </row>
    <row r="287" spans="1:14" ht="15.75" hidden="1" customHeight="1" x14ac:dyDescent="0.25">
      <c r="A287" s="3" t="s">
        <v>659</v>
      </c>
      <c r="B287" s="6">
        <v>4750000</v>
      </c>
      <c r="C287" s="3" t="s">
        <v>14</v>
      </c>
      <c r="D287" s="4">
        <v>45756</v>
      </c>
      <c r="E287" s="4">
        <v>45808</v>
      </c>
      <c r="F287" s="3" t="s">
        <v>638</v>
      </c>
      <c r="G287" s="3" t="s">
        <v>21</v>
      </c>
      <c r="H287" s="3">
        <v>13069636</v>
      </c>
      <c r="I287" s="3" t="s">
        <v>660</v>
      </c>
      <c r="J287" s="3">
        <v>43624414</v>
      </c>
      <c r="K287" s="3" t="s">
        <v>526</v>
      </c>
      <c r="L287" s="6">
        <v>9500000</v>
      </c>
      <c r="M287" s="6">
        <f t="shared" si="1"/>
        <v>-4750000</v>
      </c>
      <c r="N287" s="6"/>
    </row>
    <row r="288" spans="1:14" ht="15.75" hidden="1" customHeight="1" x14ac:dyDescent="0.25">
      <c r="A288" s="3" t="s">
        <v>661</v>
      </c>
      <c r="B288" s="6">
        <v>4750000</v>
      </c>
      <c r="C288" s="3" t="s">
        <v>14</v>
      </c>
      <c r="D288" s="4">
        <v>45758</v>
      </c>
      <c r="E288" s="4">
        <v>45808</v>
      </c>
      <c r="F288" s="3" t="s">
        <v>638</v>
      </c>
      <c r="G288" s="3" t="s">
        <v>21</v>
      </c>
      <c r="H288" s="3">
        <v>1085345772</v>
      </c>
      <c r="I288" s="3" t="s">
        <v>662</v>
      </c>
      <c r="J288" s="3">
        <v>43624414</v>
      </c>
      <c r="K288" s="3" t="s">
        <v>526</v>
      </c>
      <c r="L288" s="6">
        <v>9500000</v>
      </c>
      <c r="M288" s="6">
        <f t="shared" si="1"/>
        <v>-4750000</v>
      </c>
      <c r="N288" s="6"/>
    </row>
    <row r="289" spans="1:26" ht="15.75" hidden="1" customHeight="1" x14ac:dyDescent="0.25">
      <c r="A289" s="3" t="s">
        <v>663</v>
      </c>
      <c r="B289" s="6">
        <v>4825000</v>
      </c>
      <c r="C289" s="3" t="s">
        <v>14</v>
      </c>
      <c r="D289" s="4">
        <v>45748</v>
      </c>
      <c r="E289" s="4">
        <v>45808</v>
      </c>
      <c r="F289" s="3" t="s">
        <v>664</v>
      </c>
      <c r="G289" s="3" t="s">
        <v>21</v>
      </c>
      <c r="H289" s="3">
        <v>1085324891</v>
      </c>
      <c r="I289" s="3" t="s">
        <v>665</v>
      </c>
      <c r="J289" s="3">
        <v>43624414</v>
      </c>
      <c r="K289" s="3" t="s">
        <v>526</v>
      </c>
      <c r="L289" s="6">
        <v>9650000</v>
      </c>
      <c r="M289" s="6">
        <f t="shared" si="1"/>
        <v>-4825000</v>
      </c>
      <c r="N289" s="6"/>
    </row>
    <row r="290" spans="1:26" ht="15.75" hidden="1" customHeight="1" x14ac:dyDescent="0.25">
      <c r="A290" s="3" t="s">
        <v>666</v>
      </c>
      <c r="B290" s="6">
        <v>4825000</v>
      </c>
      <c r="C290" s="3" t="s">
        <v>14</v>
      </c>
      <c r="D290" s="4">
        <v>45748</v>
      </c>
      <c r="E290" s="4">
        <v>45808</v>
      </c>
      <c r="F290" s="3" t="s">
        <v>664</v>
      </c>
      <c r="G290" s="3" t="s">
        <v>21</v>
      </c>
      <c r="H290" s="3">
        <v>1085265622</v>
      </c>
      <c r="I290" s="3" t="s">
        <v>667</v>
      </c>
      <c r="J290" s="3">
        <v>59836926</v>
      </c>
      <c r="K290" s="3" t="s">
        <v>367</v>
      </c>
      <c r="L290" s="6">
        <v>9650000</v>
      </c>
      <c r="M290" s="6">
        <f t="shared" si="1"/>
        <v>-4825000</v>
      </c>
      <c r="N290" s="11"/>
      <c r="O290" s="10"/>
      <c r="P290" s="10"/>
      <c r="Q290" s="10"/>
      <c r="R290" s="10"/>
      <c r="S290" s="10"/>
      <c r="T290" s="10"/>
      <c r="U290" s="10"/>
      <c r="V290" s="10"/>
      <c r="W290" s="10"/>
      <c r="X290" s="10"/>
      <c r="Y290" s="10"/>
      <c r="Z290" s="10"/>
    </row>
    <row r="291" spans="1:26" ht="15.75" hidden="1" customHeight="1" x14ac:dyDescent="0.25">
      <c r="A291" s="3" t="s">
        <v>668</v>
      </c>
      <c r="B291" s="6">
        <v>4825000</v>
      </c>
      <c r="C291" s="3" t="s">
        <v>14</v>
      </c>
      <c r="D291" s="4">
        <v>45748</v>
      </c>
      <c r="E291" s="4">
        <v>45808</v>
      </c>
      <c r="F291" s="3" t="s">
        <v>664</v>
      </c>
      <c r="G291" s="3" t="s">
        <v>21</v>
      </c>
      <c r="H291" s="3">
        <v>27087851</v>
      </c>
      <c r="I291" s="3" t="s">
        <v>159</v>
      </c>
      <c r="J291" s="3">
        <v>98333941</v>
      </c>
      <c r="K291" s="3" t="s">
        <v>26</v>
      </c>
      <c r="L291" s="6">
        <v>9650000</v>
      </c>
      <c r="M291" s="6">
        <f t="shared" si="1"/>
        <v>-4825000</v>
      </c>
      <c r="N291" s="11" t="s">
        <v>669</v>
      </c>
      <c r="O291" s="10"/>
      <c r="P291" s="10"/>
      <c r="Q291" s="10"/>
      <c r="R291" s="10"/>
      <c r="S291" s="10"/>
      <c r="T291" s="10"/>
      <c r="U291" s="10"/>
      <c r="V291" s="10"/>
      <c r="W291" s="10"/>
      <c r="X291" s="10"/>
      <c r="Y291" s="10"/>
      <c r="Z291" s="10"/>
    </row>
    <row r="292" spans="1:26" ht="15.75" hidden="1" customHeight="1" x14ac:dyDescent="0.25">
      <c r="A292" s="3" t="s">
        <v>670</v>
      </c>
      <c r="B292" s="6">
        <v>5000000</v>
      </c>
      <c r="C292" s="3" t="s">
        <v>14</v>
      </c>
      <c r="D292" s="4">
        <v>45756</v>
      </c>
      <c r="E292" s="4">
        <v>45808</v>
      </c>
      <c r="F292" s="3" t="s">
        <v>521</v>
      </c>
      <c r="G292" s="3" t="s">
        <v>21</v>
      </c>
      <c r="H292" s="3">
        <v>1085318898</v>
      </c>
      <c r="I292" s="3" t="s">
        <v>671</v>
      </c>
      <c r="J292" s="3">
        <v>59836926</v>
      </c>
      <c r="K292" s="3" t="s">
        <v>367</v>
      </c>
      <c r="L292" s="6">
        <v>5000000</v>
      </c>
      <c r="M292" s="6">
        <f t="shared" si="1"/>
        <v>0</v>
      </c>
      <c r="N292" s="6"/>
    </row>
    <row r="293" spans="1:26" ht="15.75" hidden="1" customHeight="1" x14ac:dyDescent="0.25">
      <c r="A293" s="3" t="s">
        <v>672</v>
      </c>
      <c r="B293" s="6">
        <v>4825000</v>
      </c>
      <c r="C293" s="3" t="s">
        <v>14</v>
      </c>
      <c r="D293" s="4">
        <v>45749</v>
      </c>
      <c r="E293" s="4">
        <v>45808</v>
      </c>
      <c r="F293" s="3" t="s">
        <v>673</v>
      </c>
      <c r="G293" s="3" t="s">
        <v>21</v>
      </c>
      <c r="H293" s="3">
        <v>1085267184</v>
      </c>
      <c r="I293" s="3" t="s">
        <v>674</v>
      </c>
      <c r="J293" s="3">
        <v>98333941</v>
      </c>
      <c r="K293" s="3" t="s">
        <v>26</v>
      </c>
      <c r="L293" s="6">
        <v>9650000</v>
      </c>
      <c r="M293" s="6">
        <f t="shared" si="1"/>
        <v>-4825000</v>
      </c>
      <c r="N293" s="6"/>
    </row>
    <row r="294" spans="1:26" ht="15.75" hidden="1" customHeight="1" x14ac:dyDescent="0.25">
      <c r="A294" s="3" t="s">
        <v>675</v>
      </c>
      <c r="B294" s="6">
        <v>4825000</v>
      </c>
      <c r="C294" s="3" t="s">
        <v>14</v>
      </c>
      <c r="D294" s="4">
        <v>45751</v>
      </c>
      <c r="E294" s="4">
        <v>45808</v>
      </c>
      <c r="F294" s="3" t="s">
        <v>676</v>
      </c>
      <c r="G294" s="3" t="s">
        <v>21</v>
      </c>
      <c r="H294" s="3">
        <v>12748383</v>
      </c>
      <c r="I294" s="3" t="s">
        <v>677</v>
      </c>
      <c r="J294" s="3">
        <v>59836926</v>
      </c>
      <c r="K294" s="3" t="s">
        <v>367</v>
      </c>
      <c r="L294" s="6">
        <v>9650000</v>
      </c>
      <c r="M294" s="6">
        <f t="shared" si="1"/>
        <v>-4825000</v>
      </c>
      <c r="N294" s="6"/>
    </row>
    <row r="295" spans="1:26" ht="15.75" hidden="1" customHeight="1" x14ac:dyDescent="0.25">
      <c r="A295" s="3" t="s">
        <v>678</v>
      </c>
      <c r="B295" s="6">
        <v>4825000</v>
      </c>
      <c r="C295" s="3" t="s">
        <v>14</v>
      </c>
      <c r="D295" s="4">
        <v>45756</v>
      </c>
      <c r="E295" s="4">
        <v>45808</v>
      </c>
      <c r="F295" s="3" t="s">
        <v>673</v>
      </c>
      <c r="G295" s="3" t="s">
        <v>21</v>
      </c>
      <c r="H295" s="3">
        <v>27088141</v>
      </c>
      <c r="I295" s="3" t="s">
        <v>679</v>
      </c>
      <c r="J295" s="3">
        <v>43624414</v>
      </c>
      <c r="K295" s="3" t="s">
        <v>526</v>
      </c>
      <c r="L295" s="6">
        <v>9650000</v>
      </c>
      <c r="M295" s="6">
        <f t="shared" si="1"/>
        <v>-4825000</v>
      </c>
      <c r="N295" s="6"/>
    </row>
    <row r="296" spans="1:26" ht="15.75" hidden="1" customHeight="1" x14ac:dyDescent="0.25">
      <c r="A296" s="3" t="s">
        <v>680</v>
      </c>
      <c r="B296" s="6">
        <v>2500000</v>
      </c>
      <c r="C296" s="3" t="s">
        <v>14</v>
      </c>
      <c r="D296" s="4">
        <v>45748</v>
      </c>
      <c r="E296" s="4">
        <v>45838</v>
      </c>
      <c r="F296" s="3" t="s">
        <v>524</v>
      </c>
      <c r="G296" s="3" t="s">
        <v>21</v>
      </c>
      <c r="H296" s="3">
        <v>1085320930</v>
      </c>
      <c r="I296" s="3" t="s">
        <v>477</v>
      </c>
      <c r="J296" s="3">
        <v>43624414</v>
      </c>
      <c r="K296" s="3" t="s">
        <v>526</v>
      </c>
      <c r="L296" s="6">
        <v>7500000</v>
      </c>
      <c r="M296" s="6">
        <f t="shared" si="1"/>
        <v>-5000000</v>
      </c>
      <c r="N296" s="6"/>
    </row>
    <row r="297" spans="1:26" ht="15.75" hidden="1" customHeight="1" x14ac:dyDescent="0.25">
      <c r="A297" s="3" t="s">
        <v>681</v>
      </c>
      <c r="B297" s="6">
        <v>6000000</v>
      </c>
      <c r="C297" s="3" t="s">
        <v>14</v>
      </c>
      <c r="D297" s="4">
        <v>45748</v>
      </c>
      <c r="E297" s="4">
        <v>45808</v>
      </c>
      <c r="F297" s="3" t="s">
        <v>682</v>
      </c>
      <c r="G297" s="3" t="s">
        <v>21</v>
      </c>
      <c r="H297" s="3">
        <v>59837608</v>
      </c>
      <c r="I297" s="3" t="s">
        <v>138</v>
      </c>
      <c r="J297" s="3">
        <v>98333941</v>
      </c>
      <c r="K297" s="3" t="s">
        <v>26</v>
      </c>
      <c r="L297" s="6">
        <v>12000000</v>
      </c>
      <c r="M297" s="6">
        <f t="shared" si="1"/>
        <v>-6000000</v>
      </c>
      <c r="N297" s="6"/>
    </row>
    <row r="298" spans="1:26" ht="15.75" hidden="1" customHeight="1" x14ac:dyDescent="0.25">
      <c r="A298" s="3" t="s">
        <v>683</v>
      </c>
      <c r="B298" s="6">
        <v>6000000</v>
      </c>
      <c r="C298" s="3" t="s">
        <v>14</v>
      </c>
      <c r="D298" s="4">
        <v>45749</v>
      </c>
      <c r="E298" s="4">
        <v>45808</v>
      </c>
      <c r="F298" s="3" t="s">
        <v>684</v>
      </c>
      <c r="G298" s="3" t="s">
        <v>21</v>
      </c>
      <c r="H298" s="3">
        <v>97470681</v>
      </c>
      <c r="I298" s="3" t="s">
        <v>685</v>
      </c>
      <c r="J298" s="3">
        <v>98333941</v>
      </c>
      <c r="K298" s="3" t="s">
        <v>26</v>
      </c>
      <c r="L298" s="6">
        <v>12000000</v>
      </c>
      <c r="M298" s="6">
        <f t="shared" si="1"/>
        <v>-6000000</v>
      </c>
      <c r="N298" s="6"/>
    </row>
    <row r="299" spans="1:26" ht="15.75" hidden="1" customHeight="1" x14ac:dyDescent="0.25">
      <c r="A299" s="3" t="s">
        <v>686</v>
      </c>
      <c r="B299" s="6">
        <v>6000000</v>
      </c>
      <c r="C299" s="3" t="s">
        <v>14</v>
      </c>
      <c r="D299" s="4">
        <v>45750</v>
      </c>
      <c r="E299" s="4">
        <v>45808</v>
      </c>
      <c r="F299" s="3" t="s">
        <v>687</v>
      </c>
      <c r="G299" s="3" t="s">
        <v>21</v>
      </c>
      <c r="H299" s="3">
        <v>1085248939</v>
      </c>
      <c r="I299" s="3" t="s">
        <v>369</v>
      </c>
      <c r="J299" s="3">
        <v>43624414</v>
      </c>
      <c r="K299" s="3" t="s">
        <v>526</v>
      </c>
      <c r="L299" s="6">
        <v>12000000</v>
      </c>
      <c r="M299" s="6">
        <f t="shared" si="1"/>
        <v>-6000000</v>
      </c>
      <c r="N299" s="6"/>
    </row>
    <row r="300" spans="1:26" ht="15.75" hidden="1" customHeight="1" x14ac:dyDescent="0.25">
      <c r="A300" s="3" t="s">
        <v>688</v>
      </c>
      <c r="B300" s="6">
        <v>6000000</v>
      </c>
      <c r="C300" s="3" t="s">
        <v>14</v>
      </c>
      <c r="D300" s="4">
        <v>45750</v>
      </c>
      <c r="E300" s="4">
        <v>45808</v>
      </c>
      <c r="F300" s="3" t="s">
        <v>689</v>
      </c>
      <c r="G300" s="3" t="s">
        <v>21</v>
      </c>
      <c r="H300" s="3">
        <v>59820414</v>
      </c>
      <c r="I300" s="3" t="s">
        <v>136</v>
      </c>
      <c r="J300" s="3">
        <v>59836926</v>
      </c>
      <c r="K300" s="3" t="s">
        <v>367</v>
      </c>
      <c r="L300" s="6">
        <v>12000000</v>
      </c>
      <c r="M300" s="6">
        <f t="shared" si="1"/>
        <v>-6000000</v>
      </c>
      <c r="N300" s="6"/>
    </row>
    <row r="301" spans="1:26" ht="15.75" hidden="1" customHeight="1" x14ac:dyDescent="0.25">
      <c r="A301" s="3" t="s">
        <v>690</v>
      </c>
      <c r="B301" s="6">
        <v>6000000</v>
      </c>
      <c r="C301" s="3" t="s">
        <v>14</v>
      </c>
      <c r="D301" s="4">
        <v>45751</v>
      </c>
      <c r="E301" s="4">
        <v>45808</v>
      </c>
      <c r="F301" s="3" t="s">
        <v>691</v>
      </c>
      <c r="G301" s="3" t="s">
        <v>21</v>
      </c>
      <c r="H301" s="3">
        <v>1082748420</v>
      </c>
      <c r="I301" s="3" t="s">
        <v>692</v>
      </c>
      <c r="J301" s="3">
        <v>98390119</v>
      </c>
      <c r="K301" s="3" t="s">
        <v>33</v>
      </c>
      <c r="L301" s="6">
        <v>12000000</v>
      </c>
      <c r="M301" s="6">
        <f t="shared" si="1"/>
        <v>-6000000</v>
      </c>
      <c r="N301" s="6"/>
    </row>
    <row r="302" spans="1:26" ht="15.75" hidden="1" customHeight="1" x14ac:dyDescent="0.25">
      <c r="A302" s="3" t="s">
        <v>693</v>
      </c>
      <c r="B302" s="6">
        <v>6000000</v>
      </c>
      <c r="C302" s="3" t="s">
        <v>14</v>
      </c>
      <c r="D302" s="4">
        <v>45756</v>
      </c>
      <c r="E302" s="4">
        <v>45808</v>
      </c>
      <c r="F302" s="3" t="s">
        <v>694</v>
      </c>
      <c r="G302" s="3" t="s">
        <v>21</v>
      </c>
      <c r="H302" s="3">
        <v>36757221</v>
      </c>
      <c r="I302" s="3" t="s">
        <v>695</v>
      </c>
      <c r="J302" s="3">
        <v>59836926</v>
      </c>
      <c r="K302" s="3" t="s">
        <v>367</v>
      </c>
      <c r="L302" s="6">
        <v>12000000</v>
      </c>
      <c r="M302" s="6">
        <f t="shared" si="1"/>
        <v>-6000000</v>
      </c>
      <c r="N302" s="6"/>
    </row>
    <row r="303" spans="1:26" ht="15.75" hidden="1" customHeight="1" x14ac:dyDescent="0.25">
      <c r="A303" s="3" t="s">
        <v>696</v>
      </c>
      <c r="B303" s="6">
        <v>6000000</v>
      </c>
      <c r="C303" s="3" t="s">
        <v>14</v>
      </c>
      <c r="D303" s="4">
        <v>45757</v>
      </c>
      <c r="E303" s="4">
        <v>45808</v>
      </c>
      <c r="F303" s="3" t="s">
        <v>697</v>
      </c>
      <c r="G303" s="3" t="s">
        <v>21</v>
      </c>
      <c r="H303" s="3">
        <v>1085275879</v>
      </c>
      <c r="I303" s="3" t="s">
        <v>141</v>
      </c>
      <c r="J303" s="3">
        <v>43624414</v>
      </c>
      <c r="K303" s="3" t="s">
        <v>526</v>
      </c>
      <c r="L303" s="6">
        <v>12000000</v>
      </c>
      <c r="M303" s="6">
        <f t="shared" si="1"/>
        <v>-6000000</v>
      </c>
      <c r="N303" s="6"/>
    </row>
    <row r="304" spans="1:26" ht="15.75" hidden="1" customHeight="1" x14ac:dyDescent="0.25">
      <c r="A304" s="3" t="s">
        <v>698</v>
      </c>
      <c r="B304" s="6">
        <v>2000000</v>
      </c>
      <c r="C304" s="3" t="s">
        <v>14</v>
      </c>
      <c r="D304" s="4">
        <v>45567</v>
      </c>
      <c r="E304" s="4">
        <v>45657</v>
      </c>
      <c r="F304" s="3" t="s">
        <v>699</v>
      </c>
      <c r="G304" s="3" t="s">
        <v>21</v>
      </c>
      <c r="H304" s="3">
        <v>1085324107</v>
      </c>
      <c r="I304" s="3" t="s">
        <v>219</v>
      </c>
      <c r="J304" s="3">
        <v>98390119</v>
      </c>
      <c r="K304" s="3" t="s">
        <v>33</v>
      </c>
      <c r="L304" s="6">
        <v>9000000</v>
      </c>
      <c r="M304" s="6">
        <f t="shared" si="1"/>
        <v>-7000000</v>
      </c>
      <c r="N304" s="6"/>
    </row>
    <row r="305" spans="1:14" ht="15.75" hidden="1" customHeight="1" x14ac:dyDescent="0.25">
      <c r="A305" s="3" t="s">
        <v>700</v>
      </c>
      <c r="B305" s="6">
        <v>7500000</v>
      </c>
      <c r="C305" s="3" t="s">
        <v>14</v>
      </c>
      <c r="D305" s="4">
        <v>45750</v>
      </c>
      <c r="E305" s="4">
        <v>45808</v>
      </c>
      <c r="F305" s="3" t="s">
        <v>701</v>
      </c>
      <c r="G305" s="3" t="s">
        <v>21</v>
      </c>
      <c r="H305" s="3">
        <v>87067123</v>
      </c>
      <c r="I305" s="3" t="s">
        <v>702</v>
      </c>
      <c r="J305" s="3">
        <v>59836926</v>
      </c>
      <c r="K305" s="3" t="s">
        <v>367</v>
      </c>
      <c r="L305" s="6">
        <v>15000000</v>
      </c>
      <c r="M305" s="6">
        <f t="shared" si="1"/>
        <v>-7500000</v>
      </c>
      <c r="N305" s="6"/>
    </row>
    <row r="306" spans="1:14" ht="15.75" hidden="1" customHeight="1" x14ac:dyDescent="0.25">
      <c r="A306" s="3" t="s">
        <v>703</v>
      </c>
      <c r="B306" s="6">
        <v>7500000</v>
      </c>
      <c r="C306" s="3" t="s">
        <v>14</v>
      </c>
      <c r="D306" s="4">
        <v>45751</v>
      </c>
      <c r="E306" s="4">
        <v>45808</v>
      </c>
      <c r="F306" s="3" t="s">
        <v>704</v>
      </c>
      <c r="G306" s="3" t="s">
        <v>21</v>
      </c>
      <c r="H306" s="3">
        <v>1006946167</v>
      </c>
      <c r="I306" s="3" t="s">
        <v>124</v>
      </c>
      <c r="J306" s="3">
        <v>98333941</v>
      </c>
      <c r="K306" s="3" t="s">
        <v>26</v>
      </c>
      <c r="L306" s="6">
        <v>15000000</v>
      </c>
      <c r="M306" s="6">
        <f t="shared" si="1"/>
        <v>-7500000</v>
      </c>
      <c r="N306" s="6"/>
    </row>
    <row r="307" spans="1:14" ht="15.75" hidden="1" customHeight="1" x14ac:dyDescent="0.25">
      <c r="A307" s="3" t="s">
        <v>705</v>
      </c>
      <c r="B307" s="6">
        <v>129000</v>
      </c>
      <c r="C307" s="3" t="s">
        <v>14</v>
      </c>
      <c r="D307" s="4">
        <v>45576</v>
      </c>
      <c r="E307" s="4">
        <v>45657</v>
      </c>
      <c r="F307" s="3" t="s">
        <v>699</v>
      </c>
      <c r="G307" s="3" t="s">
        <v>21</v>
      </c>
      <c r="H307" s="3">
        <v>37083086</v>
      </c>
      <c r="I307" s="3" t="s">
        <v>706</v>
      </c>
      <c r="J307" s="3">
        <v>59822566</v>
      </c>
      <c r="K307" s="3" t="s">
        <v>23</v>
      </c>
      <c r="L307" s="6">
        <v>9000000</v>
      </c>
      <c r="M307" s="6">
        <f t="shared" si="1"/>
        <v>-8871000</v>
      </c>
      <c r="N307" s="6"/>
    </row>
    <row r="308" spans="1:14" ht="15.75" hidden="1" customHeight="1" x14ac:dyDescent="0.25">
      <c r="A308" s="3" t="s">
        <v>707</v>
      </c>
      <c r="B308" s="6">
        <v>2600000</v>
      </c>
      <c r="C308" s="3" t="s">
        <v>14</v>
      </c>
      <c r="D308" s="4">
        <v>45407</v>
      </c>
      <c r="E308" s="4">
        <v>45498</v>
      </c>
      <c r="F308" s="3" t="s">
        <v>708</v>
      </c>
      <c r="G308" s="3" t="s">
        <v>21</v>
      </c>
      <c r="H308" s="3">
        <v>1004233343</v>
      </c>
      <c r="I308" s="3" t="s">
        <v>709</v>
      </c>
      <c r="J308" s="3">
        <v>1004233343</v>
      </c>
      <c r="K308" s="3" t="s">
        <v>709</v>
      </c>
      <c r="L308" s="6">
        <v>18000000</v>
      </c>
      <c r="M308" s="6">
        <f t="shared" si="1"/>
        <v>-15400000</v>
      </c>
      <c r="N308" s="6"/>
    </row>
    <row r="309" spans="1:14" ht="15.75" hidden="1" customHeight="1" x14ac:dyDescent="0.25">
      <c r="A309" s="3" t="s">
        <v>710</v>
      </c>
      <c r="B309" s="6">
        <v>252000</v>
      </c>
      <c r="C309" s="3" t="s">
        <v>14</v>
      </c>
      <c r="D309" s="4">
        <v>45565</v>
      </c>
      <c r="E309" s="4">
        <v>45657</v>
      </c>
      <c r="F309" s="3" t="s">
        <v>711</v>
      </c>
      <c r="G309" s="3" t="s">
        <v>21</v>
      </c>
      <c r="H309" s="3">
        <v>1010010954</v>
      </c>
      <c r="I309" s="3" t="s">
        <v>364</v>
      </c>
      <c r="J309" s="3">
        <v>59822566</v>
      </c>
      <c r="K309" s="3" t="s">
        <v>498</v>
      </c>
      <c r="L309" s="6">
        <v>18000000</v>
      </c>
      <c r="M309" s="6">
        <f t="shared" si="1"/>
        <v>-17748000</v>
      </c>
      <c r="N309" s="6"/>
    </row>
    <row r="310" spans="1:14" ht="15.75" hidden="1" customHeight="1" x14ac:dyDescent="0.25">
      <c r="A310" s="3" t="s">
        <v>712</v>
      </c>
      <c r="B310" s="6">
        <v>9000000</v>
      </c>
      <c r="C310" s="3" t="s">
        <v>14</v>
      </c>
      <c r="D310" s="4">
        <v>45768</v>
      </c>
      <c r="E310" s="4">
        <v>45808</v>
      </c>
      <c r="F310" s="3" t="s">
        <v>713</v>
      </c>
      <c r="G310" s="3" t="s">
        <v>21</v>
      </c>
      <c r="H310" s="3">
        <v>27097289</v>
      </c>
      <c r="I310" s="3" t="s">
        <v>145</v>
      </c>
      <c r="J310" s="3">
        <v>59836926</v>
      </c>
      <c r="K310" s="3" t="s">
        <v>367</v>
      </c>
      <c r="L310" s="6">
        <v>9000000</v>
      </c>
      <c r="M310" s="6">
        <f t="shared" si="1"/>
        <v>0</v>
      </c>
      <c r="N310" s="6"/>
    </row>
    <row r="311" spans="1:14" ht="15.75" hidden="1" customHeight="1" x14ac:dyDescent="0.25">
      <c r="A311" s="3" t="s">
        <v>714</v>
      </c>
      <c r="B311" s="6">
        <v>252000</v>
      </c>
      <c r="C311" s="3" t="s">
        <v>14</v>
      </c>
      <c r="D311" s="4">
        <v>45575</v>
      </c>
      <c r="E311" s="4">
        <v>45657</v>
      </c>
      <c r="F311" s="3" t="s">
        <v>715</v>
      </c>
      <c r="G311" s="3" t="s">
        <v>21</v>
      </c>
      <c r="H311" s="3">
        <v>36757221</v>
      </c>
      <c r="I311" s="3" t="s">
        <v>695</v>
      </c>
      <c r="J311" s="3">
        <v>59822566</v>
      </c>
      <c r="K311" s="3" t="s">
        <v>498</v>
      </c>
      <c r="L311" s="6">
        <v>18000000</v>
      </c>
      <c r="M311" s="6">
        <f t="shared" si="1"/>
        <v>-17748000</v>
      </c>
      <c r="N311" s="6"/>
    </row>
    <row r="312" spans="1:14" ht="15.75" hidden="1" customHeight="1" x14ac:dyDescent="0.25">
      <c r="A312" s="10" t="s">
        <v>716</v>
      </c>
      <c r="B312" s="11">
        <v>73000000</v>
      </c>
      <c r="C312" s="10" t="s">
        <v>14</v>
      </c>
      <c r="D312" s="12">
        <v>45756</v>
      </c>
      <c r="E312" s="12">
        <v>45808</v>
      </c>
      <c r="F312" s="10" t="s">
        <v>717</v>
      </c>
      <c r="G312" s="10" t="s">
        <v>16</v>
      </c>
      <c r="H312" s="10">
        <v>900994364</v>
      </c>
      <c r="I312" s="10" t="s">
        <v>718</v>
      </c>
      <c r="J312" s="10">
        <v>13016581</v>
      </c>
      <c r="K312" s="10" t="s">
        <v>81</v>
      </c>
      <c r="L312" s="11">
        <v>146000000</v>
      </c>
      <c r="M312" s="6">
        <f t="shared" si="1"/>
        <v>-73000000</v>
      </c>
      <c r="N312" s="6"/>
    </row>
    <row r="313" spans="1:14" ht="15.75" hidden="1" customHeight="1" x14ac:dyDescent="0.25">
      <c r="A313" s="3" t="s">
        <v>719</v>
      </c>
      <c r="B313" s="6">
        <v>80825000</v>
      </c>
      <c r="C313" s="3" t="s">
        <v>14</v>
      </c>
      <c r="D313" s="4">
        <v>45763</v>
      </c>
      <c r="E313" s="4">
        <v>45808</v>
      </c>
      <c r="F313" s="3" t="s">
        <v>720</v>
      </c>
      <c r="G313" s="3" t="s">
        <v>16</v>
      </c>
      <c r="H313" s="3">
        <v>900633448</v>
      </c>
      <c r="I313" s="3" t="s">
        <v>721</v>
      </c>
      <c r="J313" s="3">
        <v>17658216</v>
      </c>
      <c r="K313" s="3" t="s">
        <v>722</v>
      </c>
      <c r="L313" s="6">
        <v>163200000</v>
      </c>
      <c r="M313" s="6">
        <f t="shared" si="1"/>
        <v>-82375000</v>
      </c>
      <c r="N313" s="6"/>
    </row>
    <row r="314" spans="1:14" ht="15.75" customHeight="1" x14ac:dyDescent="0.25">
      <c r="A314" s="10" t="s">
        <v>723</v>
      </c>
      <c r="B314" s="11">
        <v>106805500</v>
      </c>
      <c r="C314" s="10" t="s">
        <v>14</v>
      </c>
      <c r="D314" s="12">
        <v>45567</v>
      </c>
      <c r="E314" s="12">
        <v>45657</v>
      </c>
      <c r="F314" s="10" t="s">
        <v>724</v>
      </c>
      <c r="G314" s="10" t="s">
        <v>16</v>
      </c>
      <c r="H314" s="10">
        <v>900994364</v>
      </c>
      <c r="I314" s="10" t="s">
        <v>100</v>
      </c>
      <c r="J314" s="10">
        <v>76316961</v>
      </c>
      <c r="K314" s="10" t="s">
        <v>101</v>
      </c>
      <c r="L314" s="11">
        <v>213611000</v>
      </c>
      <c r="M314" s="6">
        <f t="shared" si="1"/>
        <v>-106805500</v>
      </c>
      <c r="N314" s="6"/>
    </row>
    <row r="315" spans="1:14" ht="15.75" customHeight="1" x14ac:dyDescent="0.25">
      <c r="B315" s="6"/>
      <c r="D315" s="4"/>
      <c r="E315" s="4"/>
      <c r="L315" s="13"/>
      <c r="N315" s="6"/>
    </row>
    <row r="316" spans="1:14" ht="15.75" customHeight="1" x14ac:dyDescent="0.25">
      <c r="B316" s="6"/>
      <c r="D316" s="4"/>
      <c r="E316" s="4"/>
      <c r="L316" s="13"/>
      <c r="N316" s="6"/>
    </row>
    <row r="317" spans="1:14" ht="15.75" customHeight="1" x14ac:dyDescent="0.25">
      <c r="B317" s="6"/>
      <c r="D317" s="4"/>
      <c r="E317" s="4"/>
      <c r="L317" s="13"/>
      <c r="N317" s="6"/>
    </row>
    <row r="318" spans="1:14" ht="15.75" customHeight="1" x14ac:dyDescent="0.25">
      <c r="B318" s="6"/>
      <c r="D318" s="4"/>
      <c r="E318" s="4"/>
      <c r="L318" s="13"/>
      <c r="N318" s="6"/>
    </row>
    <row r="319" spans="1:14" ht="15.75" customHeight="1" x14ac:dyDescent="0.25">
      <c r="B319" s="6"/>
      <c r="D319" s="4"/>
      <c r="E319" s="4"/>
      <c r="L319" s="13"/>
      <c r="N319" s="6"/>
    </row>
    <row r="320" spans="1:14" ht="15.75" customHeight="1" x14ac:dyDescent="0.25">
      <c r="B320" s="6"/>
      <c r="D320" s="4"/>
      <c r="E320" s="4"/>
      <c r="L320" s="13"/>
      <c r="N320" s="6"/>
    </row>
    <row r="321" spans="1:14" ht="15.75" customHeight="1" x14ac:dyDescent="0.25">
      <c r="B321" s="6"/>
      <c r="D321" s="4"/>
      <c r="E321" s="4"/>
      <c r="L321" s="13"/>
      <c r="N321" s="6"/>
    </row>
    <row r="322" spans="1:14" ht="15.75" customHeight="1" x14ac:dyDescent="0.25">
      <c r="A322" t="s">
        <v>733</v>
      </c>
      <c r="B322" s="6">
        <v>14476800</v>
      </c>
      <c r="C322" t="s">
        <v>14</v>
      </c>
      <c r="D322" s="4">
        <v>45566</v>
      </c>
      <c r="E322" s="4">
        <v>45657</v>
      </c>
      <c r="F322" t="s">
        <v>735</v>
      </c>
      <c r="G322" t="s">
        <v>21</v>
      </c>
      <c r="H322">
        <v>1085255870</v>
      </c>
      <c r="I322" t="s">
        <v>736</v>
      </c>
      <c r="J322">
        <v>98390119</v>
      </c>
      <c r="K322" t="s">
        <v>33</v>
      </c>
      <c r="L322" s="13">
        <v>14476800</v>
      </c>
      <c r="N322" s="16" t="s">
        <v>738</v>
      </c>
    </row>
    <row r="323" spans="1:14" ht="15.75" customHeight="1" x14ac:dyDescent="0.25">
      <c r="B323" s="6"/>
      <c r="D323" s="4"/>
      <c r="E323" s="4"/>
      <c r="L323" s="13"/>
      <c r="N323" s="6"/>
    </row>
    <row r="324" spans="1:14" ht="15.75" customHeight="1" x14ac:dyDescent="0.25">
      <c r="B324" s="6"/>
      <c r="D324" s="4"/>
      <c r="E324" s="4"/>
      <c r="L324" s="13"/>
      <c r="N324" s="6"/>
    </row>
    <row r="325" spans="1:14" ht="15.75" customHeight="1" x14ac:dyDescent="0.25">
      <c r="B325" s="6"/>
      <c r="D325" s="4"/>
      <c r="E325" s="4"/>
      <c r="L325" s="13"/>
      <c r="N325" s="6"/>
    </row>
    <row r="326" spans="1:14" ht="15.75" customHeight="1" x14ac:dyDescent="0.25">
      <c r="B326" s="6"/>
      <c r="D326" s="4"/>
      <c r="E326" s="4"/>
      <c r="L326" s="13"/>
      <c r="N326" s="6"/>
    </row>
    <row r="327" spans="1:14" ht="15.75" customHeight="1" x14ac:dyDescent="0.25">
      <c r="B327" s="6"/>
      <c r="D327" s="4"/>
      <c r="E327" s="4"/>
      <c r="L327" s="13"/>
      <c r="N327" s="6"/>
    </row>
    <row r="328" spans="1:14" ht="15.75" customHeight="1" x14ac:dyDescent="0.25">
      <c r="B328" s="6"/>
      <c r="D328" s="4"/>
      <c r="E328" s="4"/>
      <c r="L328" s="13"/>
      <c r="N328" s="6"/>
    </row>
    <row r="329" spans="1:14" ht="15.75" customHeight="1" x14ac:dyDescent="0.25">
      <c r="B329" s="6"/>
      <c r="D329" s="4"/>
      <c r="E329" s="4"/>
      <c r="L329" s="13"/>
      <c r="N329" s="6"/>
    </row>
    <row r="330" spans="1:14" ht="15.75" customHeight="1" x14ac:dyDescent="0.25">
      <c r="B330" s="6"/>
      <c r="D330" s="4"/>
      <c r="E330" s="4"/>
      <c r="L330" s="13"/>
      <c r="N330" s="6"/>
    </row>
    <row r="331" spans="1:14" ht="15.75" customHeight="1" x14ac:dyDescent="0.25">
      <c r="B331" s="6"/>
      <c r="D331" s="4"/>
      <c r="E331" s="4"/>
      <c r="L331" s="13"/>
      <c r="N331" s="6"/>
    </row>
    <row r="332" spans="1:14" ht="15.75" customHeight="1" x14ac:dyDescent="0.25">
      <c r="B332" s="6"/>
      <c r="D332" s="4"/>
      <c r="E332" s="4"/>
      <c r="L332" s="13"/>
      <c r="N332" s="6"/>
    </row>
    <row r="333" spans="1:14" ht="15.75" customHeight="1" x14ac:dyDescent="0.25">
      <c r="B333" s="6"/>
      <c r="D333" s="4"/>
      <c r="E333" s="4"/>
      <c r="L333" s="13"/>
      <c r="N333" s="6"/>
    </row>
    <row r="334" spans="1:14" ht="15.75" customHeight="1" x14ac:dyDescent="0.25">
      <c r="B334" s="6"/>
      <c r="D334" s="4"/>
      <c r="E334" s="4"/>
      <c r="L334" s="13"/>
      <c r="N334" s="6"/>
    </row>
    <row r="335" spans="1:14" ht="15.75" customHeight="1" x14ac:dyDescent="0.25">
      <c r="B335" s="6"/>
      <c r="D335" s="4"/>
      <c r="E335" s="4"/>
      <c r="L335" s="13"/>
      <c r="N335" s="6"/>
    </row>
    <row r="336" spans="1:14" ht="15.75" customHeight="1" x14ac:dyDescent="0.25">
      <c r="B336" s="6"/>
      <c r="D336" s="4"/>
      <c r="E336" s="4"/>
      <c r="L336" s="13"/>
      <c r="N336" s="6"/>
    </row>
    <row r="337" spans="2:14" ht="15.75" customHeight="1" x14ac:dyDescent="0.25">
      <c r="B337" s="6"/>
      <c r="D337" s="4"/>
      <c r="E337" s="4"/>
      <c r="L337" s="13"/>
      <c r="N337" s="6"/>
    </row>
    <row r="338" spans="2:14" ht="15.75" customHeight="1" x14ac:dyDescent="0.25">
      <c r="B338" s="6"/>
      <c r="D338" s="4"/>
      <c r="E338" s="4"/>
      <c r="L338" s="13"/>
      <c r="N338" s="6"/>
    </row>
    <row r="339" spans="2:14" ht="15.75" customHeight="1" x14ac:dyDescent="0.25">
      <c r="B339" s="6"/>
      <c r="D339" s="4"/>
      <c r="E339" s="4"/>
      <c r="L339" s="13"/>
      <c r="N339" s="6"/>
    </row>
    <row r="340" spans="2:14" ht="15.75" customHeight="1" x14ac:dyDescent="0.25">
      <c r="B340" s="6"/>
      <c r="D340" s="4"/>
      <c r="E340" s="4"/>
      <c r="L340" s="13"/>
      <c r="N340" s="6"/>
    </row>
    <row r="341" spans="2:14" ht="15.75" customHeight="1" x14ac:dyDescent="0.25">
      <c r="B341" s="6"/>
      <c r="D341" s="4"/>
      <c r="E341" s="4"/>
      <c r="L341" s="13"/>
      <c r="N341" s="6"/>
    </row>
    <row r="342" spans="2:14" ht="15.75" customHeight="1" x14ac:dyDescent="0.25">
      <c r="B342" s="6"/>
      <c r="D342" s="4"/>
      <c r="E342" s="4"/>
      <c r="L342" s="13"/>
      <c r="N342" s="6"/>
    </row>
    <row r="343" spans="2:14" ht="15.75" customHeight="1" x14ac:dyDescent="0.25">
      <c r="B343" s="6"/>
      <c r="D343" s="4"/>
      <c r="E343" s="4"/>
      <c r="L343" s="13"/>
      <c r="N343" s="6"/>
    </row>
    <row r="344" spans="2:14" ht="15.75" customHeight="1" x14ac:dyDescent="0.25">
      <c r="B344" s="6"/>
      <c r="D344" s="4"/>
      <c r="E344" s="4"/>
      <c r="L344" s="13"/>
      <c r="N344" s="6"/>
    </row>
    <row r="345" spans="2:14" ht="15.75" customHeight="1" x14ac:dyDescent="0.25">
      <c r="B345" s="6"/>
      <c r="D345" s="4"/>
      <c r="E345" s="4"/>
      <c r="L345" s="13"/>
      <c r="N345" s="6"/>
    </row>
    <row r="346" spans="2:14" ht="15.75" customHeight="1" x14ac:dyDescent="0.25">
      <c r="B346" s="6"/>
      <c r="D346" s="4"/>
      <c r="E346" s="4"/>
      <c r="L346" s="13"/>
      <c r="N346" s="6"/>
    </row>
    <row r="347" spans="2:14" ht="15.75" customHeight="1" x14ac:dyDescent="0.25">
      <c r="B347" s="6"/>
      <c r="D347" s="4"/>
      <c r="E347" s="4"/>
      <c r="L347" s="13"/>
      <c r="N347" s="6"/>
    </row>
    <row r="348" spans="2:14" ht="15.75" customHeight="1" x14ac:dyDescent="0.25">
      <c r="B348" s="6"/>
      <c r="D348" s="4"/>
      <c r="E348" s="4"/>
      <c r="L348" s="13"/>
      <c r="N348" s="6"/>
    </row>
    <row r="349" spans="2:14" ht="15.75" customHeight="1" x14ac:dyDescent="0.25">
      <c r="B349" s="6"/>
      <c r="D349" s="4"/>
      <c r="E349" s="4"/>
      <c r="L349" s="13"/>
      <c r="N349" s="6"/>
    </row>
    <row r="350" spans="2:14" ht="15.75" customHeight="1" x14ac:dyDescent="0.25">
      <c r="B350" s="6"/>
      <c r="D350" s="4"/>
      <c r="E350" s="4"/>
      <c r="L350" s="13"/>
      <c r="N350" s="6"/>
    </row>
    <row r="351" spans="2:14" ht="15.75" customHeight="1" x14ac:dyDescent="0.25">
      <c r="B351" s="6"/>
      <c r="D351" s="4"/>
      <c r="E351" s="4"/>
      <c r="L351" s="13"/>
      <c r="N351" s="6"/>
    </row>
    <row r="352" spans="2:14" ht="15.75" customHeight="1" x14ac:dyDescent="0.25">
      <c r="B352" s="6"/>
      <c r="D352" s="4"/>
      <c r="E352" s="4"/>
      <c r="L352" s="13"/>
      <c r="N352" s="6"/>
    </row>
    <row r="353" spans="2:14" ht="15.75" customHeight="1" x14ac:dyDescent="0.25">
      <c r="B353" s="6"/>
      <c r="D353" s="4"/>
      <c r="E353" s="4"/>
      <c r="L353" s="13"/>
      <c r="N353" s="6"/>
    </row>
    <row r="354" spans="2:14" ht="15.75" customHeight="1" x14ac:dyDescent="0.25">
      <c r="B354" s="6"/>
      <c r="D354" s="4"/>
      <c r="E354" s="4"/>
      <c r="L354" s="13"/>
      <c r="N354" s="6"/>
    </row>
    <row r="355" spans="2:14" ht="15.75" customHeight="1" x14ac:dyDescent="0.25">
      <c r="B355" s="6"/>
      <c r="D355" s="4"/>
      <c r="E355" s="4"/>
      <c r="L355" s="13"/>
      <c r="N355" s="6"/>
    </row>
    <row r="356" spans="2:14" ht="15.75" customHeight="1" x14ac:dyDescent="0.25">
      <c r="B356" s="6"/>
      <c r="D356" s="4"/>
      <c r="E356" s="4"/>
      <c r="L356" s="13"/>
      <c r="N356" s="6"/>
    </row>
    <row r="357" spans="2:14" ht="15.75" customHeight="1" x14ac:dyDescent="0.25">
      <c r="B357" s="6"/>
      <c r="D357" s="4"/>
      <c r="E357" s="4"/>
      <c r="L357" s="13"/>
      <c r="N357" s="6"/>
    </row>
    <row r="358" spans="2:14" ht="15.75" customHeight="1" x14ac:dyDescent="0.25">
      <c r="B358" s="6"/>
      <c r="D358" s="4"/>
      <c r="E358" s="4"/>
      <c r="L358" s="13"/>
      <c r="N358" s="6"/>
    </row>
    <row r="359" spans="2:14" ht="15.75" customHeight="1" x14ac:dyDescent="0.25">
      <c r="B359" s="6"/>
      <c r="D359" s="4"/>
      <c r="E359" s="4"/>
      <c r="L359" s="13"/>
      <c r="N359" s="6"/>
    </row>
    <row r="360" spans="2:14" ht="15.75" customHeight="1" x14ac:dyDescent="0.25">
      <c r="B360" s="6"/>
      <c r="D360" s="4"/>
      <c r="E360" s="4"/>
      <c r="L360" s="13"/>
      <c r="N360" s="6"/>
    </row>
    <row r="361" spans="2:14" ht="15.75" customHeight="1" x14ac:dyDescent="0.25">
      <c r="B361" s="6"/>
      <c r="D361" s="4"/>
      <c r="E361" s="4"/>
      <c r="L361" s="13"/>
      <c r="N361" s="6"/>
    </row>
    <row r="362" spans="2:14" ht="15.75" customHeight="1" x14ac:dyDescent="0.25">
      <c r="B362" s="6"/>
      <c r="D362" s="4"/>
      <c r="E362" s="4"/>
      <c r="L362" s="13"/>
      <c r="N362" s="6"/>
    </row>
    <row r="363" spans="2:14" ht="15.75" customHeight="1" x14ac:dyDescent="0.25">
      <c r="B363" s="6"/>
      <c r="D363" s="4"/>
      <c r="E363" s="4"/>
      <c r="L363" s="13"/>
      <c r="N363" s="6"/>
    </row>
    <row r="364" spans="2:14" ht="15.75" customHeight="1" x14ac:dyDescent="0.25">
      <c r="B364" s="6"/>
      <c r="D364" s="4"/>
      <c r="E364" s="4"/>
      <c r="L364" s="13"/>
      <c r="N364" s="6"/>
    </row>
    <row r="365" spans="2:14" ht="15.75" customHeight="1" x14ac:dyDescent="0.25">
      <c r="B365" s="6"/>
      <c r="D365" s="4"/>
      <c r="E365" s="4"/>
      <c r="L365" s="13"/>
      <c r="N365" s="6"/>
    </row>
    <row r="366" spans="2:14" ht="15.75" customHeight="1" x14ac:dyDescent="0.25">
      <c r="B366" s="6"/>
      <c r="D366" s="4"/>
      <c r="E366" s="4"/>
      <c r="L366" s="13"/>
      <c r="N366" s="6"/>
    </row>
    <row r="367" spans="2:14" ht="15.75" customHeight="1" x14ac:dyDescent="0.25">
      <c r="B367" s="6"/>
      <c r="D367" s="4"/>
      <c r="E367" s="4"/>
      <c r="L367" s="13"/>
      <c r="N367" s="6"/>
    </row>
    <row r="368" spans="2:14" ht="15.75" customHeight="1" x14ac:dyDescent="0.25">
      <c r="B368" s="6"/>
      <c r="D368" s="4"/>
      <c r="E368" s="4"/>
      <c r="L368" s="13"/>
      <c r="N368" s="6"/>
    </row>
    <row r="369" spans="2:14" ht="15.75" customHeight="1" x14ac:dyDescent="0.25">
      <c r="B369" s="6"/>
      <c r="D369" s="4"/>
      <c r="E369" s="4"/>
      <c r="L369" s="13"/>
      <c r="N369" s="6"/>
    </row>
    <row r="370" spans="2:14" ht="15.75" customHeight="1" x14ac:dyDescent="0.25">
      <c r="B370" s="6"/>
      <c r="D370" s="4"/>
      <c r="E370" s="4"/>
      <c r="L370" s="13"/>
      <c r="N370" s="6"/>
    </row>
    <row r="371" spans="2:14" ht="15.75" customHeight="1" x14ac:dyDescent="0.25">
      <c r="B371" s="6"/>
      <c r="D371" s="4"/>
      <c r="E371" s="4"/>
      <c r="L371" s="13"/>
      <c r="N371" s="6"/>
    </row>
    <row r="372" spans="2:14" ht="15.75" customHeight="1" x14ac:dyDescent="0.25">
      <c r="B372" s="6"/>
      <c r="D372" s="4"/>
      <c r="E372" s="4"/>
      <c r="L372" s="13"/>
      <c r="N372" s="6"/>
    </row>
    <row r="373" spans="2:14" ht="15.75" customHeight="1" x14ac:dyDescent="0.25">
      <c r="B373" s="6"/>
      <c r="D373" s="4"/>
      <c r="E373" s="4"/>
      <c r="L373" s="13"/>
      <c r="N373" s="6"/>
    </row>
    <row r="374" spans="2:14" ht="15.75" customHeight="1" x14ac:dyDescent="0.25">
      <c r="B374" s="6"/>
      <c r="D374" s="4"/>
      <c r="E374" s="4"/>
      <c r="L374" s="13"/>
      <c r="N374" s="6"/>
    </row>
    <row r="375" spans="2:14" ht="15.75" customHeight="1" x14ac:dyDescent="0.25">
      <c r="B375" s="6"/>
      <c r="D375" s="4"/>
      <c r="E375" s="4"/>
      <c r="L375" s="13"/>
      <c r="N375" s="6"/>
    </row>
    <row r="376" spans="2:14" ht="15.75" customHeight="1" x14ac:dyDescent="0.25">
      <c r="B376" s="6"/>
      <c r="D376" s="4"/>
      <c r="E376" s="4"/>
      <c r="L376" s="13"/>
      <c r="N376" s="6"/>
    </row>
    <row r="377" spans="2:14" ht="15.75" customHeight="1" x14ac:dyDescent="0.25">
      <c r="B377" s="6"/>
      <c r="D377" s="4"/>
      <c r="E377" s="4"/>
      <c r="L377" s="13"/>
      <c r="N377" s="6"/>
    </row>
    <row r="378" spans="2:14" ht="15.75" customHeight="1" x14ac:dyDescent="0.25">
      <c r="B378" s="6"/>
      <c r="D378" s="4"/>
      <c r="E378" s="4"/>
      <c r="L378" s="13"/>
      <c r="N378" s="6"/>
    </row>
    <row r="379" spans="2:14" ht="15.75" customHeight="1" x14ac:dyDescent="0.25">
      <c r="B379" s="6"/>
      <c r="D379" s="4"/>
      <c r="E379" s="4"/>
      <c r="L379" s="13"/>
      <c r="N379" s="6"/>
    </row>
    <row r="380" spans="2:14" ht="15.75" customHeight="1" x14ac:dyDescent="0.25">
      <c r="B380" s="6"/>
      <c r="D380" s="4"/>
      <c r="E380" s="4"/>
      <c r="L380" s="13"/>
      <c r="N380" s="6"/>
    </row>
    <row r="381" spans="2:14" ht="15.75" customHeight="1" x14ac:dyDescent="0.25">
      <c r="B381" s="6"/>
      <c r="D381" s="4"/>
      <c r="E381" s="4"/>
      <c r="L381" s="13"/>
      <c r="N381" s="6"/>
    </row>
    <row r="382" spans="2:14" ht="15.75" customHeight="1" x14ac:dyDescent="0.25">
      <c r="B382" s="6"/>
      <c r="D382" s="4"/>
      <c r="E382" s="4"/>
      <c r="L382" s="13"/>
      <c r="N382" s="6"/>
    </row>
    <row r="383" spans="2:14" ht="15.75" customHeight="1" x14ac:dyDescent="0.25">
      <c r="B383" s="6"/>
      <c r="D383" s="4"/>
      <c r="E383" s="4"/>
      <c r="L383" s="13"/>
      <c r="N383" s="6"/>
    </row>
    <row r="384" spans="2:14" ht="15.75" customHeight="1" x14ac:dyDescent="0.25">
      <c r="B384" s="6"/>
      <c r="D384" s="4"/>
      <c r="E384" s="4"/>
      <c r="L384" s="13"/>
      <c r="N384" s="6"/>
    </row>
    <row r="385" spans="2:14" ht="15.75" customHeight="1" x14ac:dyDescent="0.25">
      <c r="B385" s="6"/>
      <c r="D385" s="4"/>
      <c r="E385" s="4"/>
      <c r="L385" s="13"/>
      <c r="N385" s="6"/>
    </row>
    <row r="386" spans="2:14" ht="15.75" customHeight="1" x14ac:dyDescent="0.25">
      <c r="B386" s="6"/>
      <c r="D386" s="4"/>
      <c r="E386" s="4"/>
      <c r="L386" s="13"/>
      <c r="N386" s="6"/>
    </row>
    <row r="387" spans="2:14" ht="15.75" customHeight="1" x14ac:dyDescent="0.25">
      <c r="B387" s="6"/>
      <c r="D387" s="4"/>
      <c r="E387" s="4"/>
      <c r="L387" s="13"/>
      <c r="N387" s="6"/>
    </row>
    <row r="388" spans="2:14" ht="15.75" customHeight="1" x14ac:dyDescent="0.25">
      <c r="B388" s="6"/>
      <c r="D388" s="4"/>
      <c r="E388" s="4"/>
      <c r="L388" s="13"/>
      <c r="N388" s="6"/>
    </row>
    <row r="389" spans="2:14" ht="15.75" customHeight="1" x14ac:dyDescent="0.25">
      <c r="B389" s="6"/>
      <c r="D389" s="4"/>
      <c r="E389" s="4"/>
      <c r="L389" s="13"/>
      <c r="N389" s="6"/>
    </row>
    <row r="390" spans="2:14" ht="15.75" customHeight="1" x14ac:dyDescent="0.25">
      <c r="B390" s="6"/>
      <c r="D390" s="4"/>
      <c r="E390" s="4"/>
      <c r="L390" s="13"/>
      <c r="N390" s="6"/>
    </row>
    <row r="391" spans="2:14" ht="15.75" customHeight="1" x14ac:dyDescent="0.25">
      <c r="B391" s="6"/>
      <c r="D391" s="4"/>
      <c r="E391" s="4"/>
      <c r="L391" s="13"/>
      <c r="N391" s="6"/>
    </row>
    <row r="392" spans="2:14" ht="15.75" customHeight="1" x14ac:dyDescent="0.25">
      <c r="B392" s="6"/>
      <c r="D392" s="4"/>
      <c r="E392" s="4"/>
      <c r="L392" s="13"/>
      <c r="N392" s="6"/>
    </row>
    <row r="393" spans="2:14" ht="15.75" customHeight="1" x14ac:dyDescent="0.25">
      <c r="B393" s="6"/>
      <c r="D393" s="4"/>
      <c r="E393" s="4"/>
      <c r="L393" s="13"/>
      <c r="N393" s="6"/>
    </row>
    <row r="394" spans="2:14" ht="15.75" customHeight="1" x14ac:dyDescent="0.25">
      <c r="B394" s="6"/>
      <c r="D394" s="4"/>
      <c r="E394" s="4"/>
      <c r="L394" s="13"/>
      <c r="N394" s="6"/>
    </row>
    <row r="395" spans="2:14" ht="15.75" customHeight="1" x14ac:dyDescent="0.25">
      <c r="B395" s="6"/>
      <c r="D395" s="4"/>
      <c r="E395" s="4"/>
      <c r="L395" s="13"/>
      <c r="N395" s="6"/>
    </row>
    <row r="396" spans="2:14" ht="15.75" customHeight="1" x14ac:dyDescent="0.25">
      <c r="B396" s="6"/>
      <c r="D396" s="4"/>
      <c r="E396" s="4"/>
      <c r="L396" s="13"/>
      <c r="N396" s="6"/>
    </row>
    <row r="397" spans="2:14" ht="15.75" customHeight="1" x14ac:dyDescent="0.25">
      <c r="B397" s="6"/>
      <c r="D397" s="4"/>
      <c r="E397" s="4"/>
      <c r="L397" s="13"/>
      <c r="N397" s="6"/>
    </row>
    <row r="398" spans="2:14" ht="15.75" customHeight="1" x14ac:dyDescent="0.25">
      <c r="B398" s="6"/>
      <c r="D398" s="4"/>
      <c r="E398" s="4"/>
      <c r="L398" s="13"/>
      <c r="N398" s="6"/>
    </row>
    <row r="399" spans="2:14" ht="15.75" customHeight="1" x14ac:dyDescent="0.25">
      <c r="B399" s="6"/>
      <c r="D399" s="4"/>
      <c r="E399" s="4"/>
      <c r="L399" s="13"/>
      <c r="N399" s="6"/>
    </row>
    <row r="400" spans="2:14" ht="15.75" customHeight="1" x14ac:dyDescent="0.25">
      <c r="B400" s="6"/>
      <c r="D400" s="4"/>
      <c r="E400" s="4"/>
      <c r="L400" s="13"/>
      <c r="N400" s="6"/>
    </row>
    <row r="401" spans="2:14" ht="15.75" customHeight="1" x14ac:dyDescent="0.25">
      <c r="B401" s="6"/>
      <c r="D401" s="4"/>
      <c r="E401" s="4"/>
      <c r="L401" s="13"/>
      <c r="N401" s="6"/>
    </row>
    <row r="402" spans="2:14" ht="15.75" customHeight="1" x14ac:dyDescent="0.25">
      <c r="B402" s="6"/>
      <c r="D402" s="4"/>
      <c r="E402" s="4"/>
      <c r="L402" s="13"/>
      <c r="N402" s="6"/>
    </row>
    <row r="403" spans="2:14" ht="15.75" customHeight="1" x14ac:dyDescent="0.25">
      <c r="B403" s="6"/>
      <c r="D403" s="4"/>
      <c r="E403" s="4"/>
      <c r="L403" s="13"/>
      <c r="N403" s="6"/>
    </row>
    <row r="404" spans="2:14" ht="15.75" customHeight="1" x14ac:dyDescent="0.25">
      <c r="B404" s="6"/>
      <c r="D404" s="4"/>
      <c r="E404" s="4"/>
      <c r="L404" s="13"/>
      <c r="N404" s="6"/>
    </row>
    <row r="405" spans="2:14" ht="15.75" customHeight="1" x14ac:dyDescent="0.25">
      <c r="B405" s="6"/>
      <c r="D405" s="4"/>
      <c r="E405" s="4"/>
      <c r="L405" s="13"/>
      <c r="N405" s="6"/>
    </row>
    <row r="406" spans="2:14" ht="15.75" customHeight="1" x14ac:dyDescent="0.25">
      <c r="B406" s="6"/>
      <c r="D406" s="4"/>
      <c r="E406" s="4"/>
      <c r="L406" s="13"/>
      <c r="N406" s="6"/>
    </row>
    <row r="407" spans="2:14" ht="15.75" customHeight="1" x14ac:dyDescent="0.25">
      <c r="B407" s="6"/>
      <c r="D407" s="4"/>
      <c r="E407" s="4"/>
      <c r="L407" s="13"/>
      <c r="N407" s="6"/>
    </row>
    <row r="408" spans="2:14" ht="15.75" customHeight="1" x14ac:dyDescent="0.25">
      <c r="B408" s="6"/>
      <c r="D408" s="4"/>
      <c r="E408" s="4"/>
      <c r="L408" s="13"/>
      <c r="N408" s="6"/>
    </row>
    <row r="409" spans="2:14" ht="15.75" customHeight="1" x14ac:dyDescent="0.25">
      <c r="B409" s="6"/>
      <c r="D409" s="4"/>
      <c r="E409" s="4"/>
      <c r="L409" s="13"/>
      <c r="N409" s="6"/>
    </row>
    <row r="410" spans="2:14" ht="15.75" customHeight="1" x14ac:dyDescent="0.25">
      <c r="B410" s="6"/>
      <c r="D410" s="4"/>
      <c r="E410" s="4"/>
      <c r="L410" s="13"/>
      <c r="N410" s="6"/>
    </row>
    <row r="411" spans="2:14" ht="15.75" customHeight="1" x14ac:dyDescent="0.25">
      <c r="B411" s="6"/>
      <c r="D411" s="4"/>
      <c r="E411" s="4"/>
      <c r="L411" s="13"/>
      <c r="N411" s="6"/>
    </row>
    <row r="412" spans="2:14" ht="15.75" customHeight="1" x14ac:dyDescent="0.25">
      <c r="B412" s="6"/>
      <c r="D412" s="4"/>
      <c r="E412" s="4"/>
      <c r="L412" s="13"/>
      <c r="N412" s="6"/>
    </row>
    <row r="413" spans="2:14" ht="15.75" customHeight="1" x14ac:dyDescent="0.25">
      <c r="B413" s="6"/>
      <c r="D413" s="4"/>
      <c r="E413" s="4"/>
      <c r="L413" s="13"/>
      <c r="N413" s="6"/>
    </row>
    <row r="414" spans="2:14" ht="15.75" customHeight="1" x14ac:dyDescent="0.25">
      <c r="B414" s="6"/>
      <c r="D414" s="4"/>
      <c r="E414" s="4"/>
      <c r="L414" s="13"/>
      <c r="N414" s="6"/>
    </row>
    <row r="415" spans="2:14" ht="15.75" customHeight="1" x14ac:dyDescent="0.25">
      <c r="B415" s="6"/>
      <c r="D415" s="4"/>
      <c r="E415" s="4"/>
      <c r="L415" s="13"/>
      <c r="N415" s="6"/>
    </row>
    <row r="416" spans="2:14" ht="15.75" customHeight="1" x14ac:dyDescent="0.25">
      <c r="B416" s="6"/>
      <c r="D416" s="4"/>
      <c r="E416" s="4"/>
      <c r="L416" s="13"/>
      <c r="N416" s="6"/>
    </row>
    <row r="417" spans="2:14" ht="15.75" customHeight="1" x14ac:dyDescent="0.25">
      <c r="B417" s="6"/>
      <c r="D417" s="4"/>
      <c r="E417" s="4"/>
      <c r="L417" s="13"/>
      <c r="N417" s="6"/>
    </row>
    <row r="418" spans="2:14" ht="15.75" customHeight="1" x14ac:dyDescent="0.25">
      <c r="B418" s="6"/>
      <c r="D418" s="4"/>
      <c r="E418" s="4"/>
      <c r="L418" s="13"/>
      <c r="N418" s="6"/>
    </row>
    <row r="419" spans="2:14" ht="15.75" customHeight="1" x14ac:dyDescent="0.25">
      <c r="B419" s="6"/>
      <c r="D419" s="4"/>
      <c r="E419" s="4"/>
      <c r="L419" s="13"/>
      <c r="N419" s="6"/>
    </row>
    <row r="420" spans="2:14" ht="15.75" customHeight="1" x14ac:dyDescent="0.25">
      <c r="B420" s="6"/>
      <c r="D420" s="4"/>
      <c r="E420" s="4"/>
      <c r="L420" s="13"/>
      <c r="N420" s="6"/>
    </row>
    <row r="421" spans="2:14" ht="15.75" customHeight="1" x14ac:dyDescent="0.25">
      <c r="B421" s="6"/>
      <c r="D421" s="4"/>
      <c r="E421" s="4"/>
      <c r="L421" s="13"/>
      <c r="N421" s="6"/>
    </row>
    <row r="422" spans="2:14" ht="15.75" customHeight="1" x14ac:dyDescent="0.25">
      <c r="B422" s="6"/>
      <c r="D422" s="4"/>
      <c r="E422" s="4"/>
      <c r="L422" s="13"/>
      <c r="N422" s="6"/>
    </row>
    <row r="423" spans="2:14" ht="15.75" customHeight="1" x14ac:dyDescent="0.25">
      <c r="B423" s="6"/>
      <c r="D423" s="4"/>
      <c r="E423" s="4"/>
      <c r="L423" s="13"/>
      <c r="N423" s="6"/>
    </row>
    <row r="424" spans="2:14" ht="15.75" customHeight="1" x14ac:dyDescent="0.25">
      <c r="B424" s="6"/>
      <c r="D424" s="4"/>
      <c r="E424" s="4"/>
      <c r="L424" s="13"/>
      <c r="N424" s="6"/>
    </row>
    <row r="425" spans="2:14" ht="15.75" customHeight="1" x14ac:dyDescent="0.25">
      <c r="B425" s="6"/>
      <c r="D425" s="4"/>
      <c r="E425" s="4"/>
      <c r="L425" s="13"/>
      <c r="N425" s="6"/>
    </row>
    <row r="426" spans="2:14" ht="15.75" customHeight="1" x14ac:dyDescent="0.25">
      <c r="B426" s="6"/>
      <c r="D426" s="4"/>
      <c r="E426" s="4"/>
      <c r="L426" s="13"/>
      <c r="N426" s="6"/>
    </row>
    <row r="427" spans="2:14" ht="15.75" customHeight="1" x14ac:dyDescent="0.25">
      <c r="B427" s="6"/>
      <c r="D427" s="4"/>
      <c r="E427" s="4"/>
      <c r="L427" s="13"/>
      <c r="N427" s="6"/>
    </row>
    <row r="428" spans="2:14" ht="15.75" customHeight="1" x14ac:dyDescent="0.25">
      <c r="B428" s="6"/>
      <c r="D428" s="4"/>
      <c r="E428" s="4"/>
      <c r="L428" s="13"/>
      <c r="N428" s="6"/>
    </row>
    <row r="429" spans="2:14" ht="15.75" customHeight="1" x14ac:dyDescent="0.25">
      <c r="B429" s="6"/>
      <c r="D429" s="4"/>
      <c r="E429" s="4"/>
      <c r="L429" s="13"/>
      <c r="N429" s="6"/>
    </row>
    <row r="430" spans="2:14" ht="15.75" customHeight="1" x14ac:dyDescent="0.25">
      <c r="B430" s="6"/>
      <c r="D430" s="4"/>
      <c r="E430" s="4"/>
      <c r="L430" s="13"/>
      <c r="N430" s="6"/>
    </row>
    <row r="431" spans="2:14" ht="15.75" customHeight="1" x14ac:dyDescent="0.25">
      <c r="B431" s="6"/>
      <c r="D431" s="4"/>
      <c r="E431" s="4"/>
      <c r="L431" s="13"/>
      <c r="N431" s="6"/>
    </row>
    <row r="432" spans="2:14" ht="15.75" customHeight="1" x14ac:dyDescent="0.25">
      <c r="B432" s="6"/>
      <c r="D432" s="4"/>
      <c r="E432" s="4"/>
      <c r="L432" s="13"/>
      <c r="N432" s="6"/>
    </row>
    <row r="433" spans="2:14" ht="15.75" customHeight="1" x14ac:dyDescent="0.25">
      <c r="B433" s="6"/>
      <c r="D433" s="4"/>
      <c r="E433" s="4"/>
      <c r="L433" s="13"/>
      <c r="N433" s="6"/>
    </row>
    <row r="434" spans="2:14" ht="15.75" customHeight="1" x14ac:dyDescent="0.25">
      <c r="B434" s="6"/>
      <c r="D434" s="4"/>
      <c r="E434" s="4"/>
      <c r="L434" s="13"/>
      <c r="N434" s="6"/>
    </row>
    <row r="435" spans="2:14" ht="15.75" customHeight="1" x14ac:dyDescent="0.25">
      <c r="B435" s="6"/>
      <c r="D435" s="4"/>
      <c r="E435" s="4"/>
      <c r="L435" s="13"/>
      <c r="N435" s="6"/>
    </row>
    <row r="436" spans="2:14" ht="15.75" customHeight="1" x14ac:dyDescent="0.25">
      <c r="B436" s="6"/>
      <c r="D436" s="4"/>
      <c r="E436" s="4"/>
      <c r="L436" s="13"/>
      <c r="N436" s="6"/>
    </row>
    <row r="437" spans="2:14" ht="15.75" customHeight="1" x14ac:dyDescent="0.25">
      <c r="B437" s="6"/>
      <c r="D437" s="4"/>
      <c r="E437" s="4"/>
      <c r="L437" s="13"/>
      <c r="N437" s="6"/>
    </row>
    <row r="438" spans="2:14" ht="15.75" customHeight="1" x14ac:dyDescent="0.25">
      <c r="B438" s="6"/>
      <c r="D438" s="4"/>
      <c r="E438" s="4"/>
      <c r="L438" s="13"/>
      <c r="N438" s="6"/>
    </row>
    <row r="439" spans="2:14" ht="15.75" customHeight="1" x14ac:dyDescent="0.25">
      <c r="B439" s="6"/>
      <c r="D439" s="4"/>
      <c r="E439" s="4"/>
      <c r="L439" s="13"/>
      <c r="N439" s="6"/>
    </row>
    <row r="440" spans="2:14" ht="15.75" customHeight="1" x14ac:dyDescent="0.25">
      <c r="B440" s="6"/>
      <c r="D440" s="4"/>
      <c r="E440" s="4"/>
      <c r="L440" s="13"/>
      <c r="N440" s="6"/>
    </row>
    <row r="441" spans="2:14" ht="15.75" customHeight="1" x14ac:dyDescent="0.25">
      <c r="B441" s="6"/>
      <c r="D441" s="4"/>
      <c r="E441" s="4"/>
      <c r="L441" s="13"/>
      <c r="N441" s="6"/>
    </row>
    <row r="442" spans="2:14" ht="15.75" customHeight="1" x14ac:dyDescent="0.25">
      <c r="B442" s="6"/>
      <c r="D442" s="4"/>
      <c r="E442" s="4"/>
      <c r="L442" s="13"/>
      <c r="N442" s="6"/>
    </row>
    <row r="443" spans="2:14" ht="15.75" customHeight="1" x14ac:dyDescent="0.25">
      <c r="B443" s="6"/>
      <c r="D443" s="4"/>
      <c r="E443" s="4"/>
      <c r="L443" s="13"/>
      <c r="N443" s="6"/>
    </row>
    <row r="444" spans="2:14" ht="15.75" customHeight="1" x14ac:dyDescent="0.25">
      <c r="B444" s="6"/>
      <c r="D444" s="4"/>
      <c r="E444" s="4"/>
      <c r="L444" s="13"/>
      <c r="N444" s="6"/>
    </row>
    <row r="445" spans="2:14" ht="15.75" customHeight="1" x14ac:dyDescent="0.25">
      <c r="B445" s="6"/>
      <c r="D445" s="4"/>
      <c r="E445" s="4"/>
      <c r="L445" s="13"/>
      <c r="N445" s="6"/>
    </row>
    <row r="446" spans="2:14" ht="15.75" customHeight="1" x14ac:dyDescent="0.25">
      <c r="B446" s="6"/>
      <c r="D446" s="4"/>
      <c r="E446" s="4"/>
      <c r="L446" s="13"/>
      <c r="N446" s="6"/>
    </row>
    <row r="447" spans="2:14" ht="15.75" customHeight="1" x14ac:dyDescent="0.25">
      <c r="B447" s="6"/>
      <c r="D447" s="4"/>
      <c r="E447" s="4"/>
      <c r="L447" s="13"/>
      <c r="N447" s="6"/>
    </row>
    <row r="448" spans="2:14" ht="15.75" customHeight="1" x14ac:dyDescent="0.25">
      <c r="B448" s="6"/>
      <c r="D448" s="4"/>
      <c r="E448" s="4"/>
      <c r="L448" s="13"/>
      <c r="N448" s="6"/>
    </row>
    <row r="449" spans="2:14" ht="15.75" customHeight="1" x14ac:dyDescent="0.25">
      <c r="B449" s="6"/>
      <c r="D449" s="4"/>
      <c r="E449" s="4"/>
      <c r="L449" s="13"/>
      <c r="N449" s="6"/>
    </row>
    <row r="450" spans="2:14" ht="15.75" customHeight="1" x14ac:dyDescent="0.25">
      <c r="B450" s="6"/>
      <c r="D450" s="4"/>
      <c r="E450" s="4"/>
      <c r="L450" s="13"/>
      <c r="N450" s="6"/>
    </row>
    <row r="451" spans="2:14" ht="15.75" customHeight="1" x14ac:dyDescent="0.25">
      <c r="B451" s="6"/>
      <c r="D451" s="4"/>
      <c r="E451" s="4"/>
      <c r="L451" s="13"/>
      <c r="N451" s="6"/>
    </row>
    <row r="452" spans="2:14" ht="15.75" customHeight="1" x14ac:dyDescent="0.25">
      <c r="B452" s="6"/>
      <c r="D452" s="4"/>
      <c r="E452" s="4"/>
      <c r="L452" s="13"/>
      <c r="N452" s="6"/>
    </row>
    <row r="453" spans="2:14" ht="15.75" customHeight="1" x14ac:dyDescent="0.25">
      <c r="B453" s="6"/>
      <c r="D453" s="4"/>
      <c r="E453" s="4"/>
      <c r="L453" s="13"/>
      <c r="N453" s="6"/>
    </row>
    <row r="454" spans="2:14" ht="15.75" customHeight="1" x14ac:dyDescent="0.25">
      <c r="B454" s="6"/>
      <c r="D454" s="4"/>
      <c r="E454" s="4"/>
      <c r="L454" s="13"/>
      <c r="N454" s="6"/>
    </row>
    <row r="455" spans="2:14" ht="15.75" customHeight="1" x14ac:dyDescent="0.25">
      <c r="B455" s="6"/>
      <c r="D455" s="4"/>
      <c r="E455" s="4"/>
      <c r="L455" s="13"/>
      <c r="N455" s="6"/>
    </row>
    <row r="456" spans="2:14" ht="15.75" customHeight="1" x14ac:dyDescent="0.25">
      <c r="B456" s="6"/>
      <c r="D456" s="4"/>
      <c r="E456" s="4"/>
      <c r="L456" s="13"/>
      <c r="N456" s="6"/>
    </row>
    <row r="457" spans="2:14" ht="15.75" customHeight="1" x14ac:dyDescent="0.25">
      <c r="B457" s="6"/>
      <c r="D457" s="4"/>
      <c r="E457" s="4"/>
      <c r="L457" s="13"/>
      <c r="N457" s="6"/>
    </row>
    <row r="458" spans="2:14" ht="15.75" customHeight="1" x14ac:dyDescent="0.25">
      <c r="B458" s="6"/>
      <c r="D458" s="4"/>
      <c r="E458" s="4"/>
      <c r="L458" s="13"/>
      <c r="N458" s="6"/>
    </row>
    <row r="459" spans="2:14" ht="15.75" customHeight="1" x14ac:dyDescent="0.25">
      <c r="B459" s="6"/>
      <c r="D459" s="4"/>
      <c r="E459" s="4"/>
      <c r="L459" s="13"/>
      <c r="N459" s="6"/>
    </row>
    <row r="460" spans="2:14" ht="15.75" customHeight="1" x14ac:dyDescent="0.25">
      <c r="B460" s="6"/>
      <c r="D460" s="4"/>
      <c r="E460" s="4"/>
      <c r="L460" s="13"/>
      <c r="N460" s="6"/>
    </row>
    <row r="461" spans="2:14" ht="15.75" customHeight="1" x14ac:dyDescent="0.25">
      <c r="B461" s="6"/>
      <c r="D461" s="4"/>
      <c r="E461" s="4"/>
      <c r="L461" s="13"/>
      <c r="N461" s="6"/>
    </row>
    <row r="462" spans="2:14" ht="15.75" customHeight="1" x14ac:dyDescent="0.25">
      <c r="B462" s="6"/>
      <c r="D462" s="4"/>
      <c r="E462" s="4"/>
      <c r="L462" s="13"/>
      <c r="N462" s="6"/>
    </row>
    <row r="463" spans="2:14" ht="15.75" customHeight="1" x14ac:dyDescent="0.25">
      <c r="B463" s="6"/>
      <c r="D463" s="4"/>
      <c r="E463" s="4"/>
      <c r="L463" s="13"/>
      <c r="N463" s="6"/>
    </row>
    <row r="464" spans="2:14" ht="15.75" customHeight="1" x14ac:dyDescent="0.25">
      <c r="B464" s="6"/>
      <c r="D464" s="4"/>
      <c r="E464" s="4"/>
      <c r="L464" s="13"/>
      <c r="N464" s="6"/>
    </row>
    <row r="465" spans="2:14" ht="15.75" customHeight="1" x14ac:dyDescent="0.25">
      <c r="B465" s="6"/>
      <c r="D465" s="4"/>
      <c r="E465" s="4"/>
      <c r="L465" s="13"/>
      <c r="N465" s="6"/>
    </row>
    <row r="466" spans="2:14" ht="15.75" customHeight="1" x14ac:dyDescent="0.25">
      <c r="B466" s="6"/>
      <c r="D466" s="4"/>
      <c r="E466" s="4"/>
      <c r="L466" s="13"/>
      <c r="N466" s="6"/>
    </row>
    <row r="467" spans="2:14" ht="15.75" customHeight="1" x14ac:dyDescent="0.25">
      <c r="B467" s="6"/>
      <c r="D467" s="4"/>
      <c r="E467" s="4"/>
      <c r="L467" s="13"/>
      <c r="N467" s="6"/>
    </row>
    <row r="468" spans="2:14" ht="15.75" customHeight="1" x14ac:dyDescent="0.25">
      <c r="B468" s="6"/>
      <c r="D468" s="4"/>
      <c r="E468" s="4"/>
      <c r="L468" s="13"/>
      <c r="N468" s="6"/>
    </row>
    <row r="469" spans="2:14" ht="15.75" customHeight="1" x14ac:dyDescent="0.25">
      <c r="B469" s="6"/>
      <c r="D469" s="4"/>
      <c r="E469" s="4"/>
      <c r="L469" s="13"/>
      <c r="N469" s="6"/>
    </row>
    <row r="470" spans="2:14" ht="15.75" customHeight="1" x14ac:dyDescent="0.25">
      <c r="B470" s="6"/>
      <c r="D470" s="4"/>
      <c r="E470" s="4"/>
      <c r="L470" s="13"/>
      <c r="N470" s="6"/>
    </row>
    <row r="471" spans="2:14" ht="15.75" customHeight="1" x14ac:dyDescent="0.25">
      <c r="B471" s="6"/>
      <c r="D471" s="4"/>
      <c r="E471" s="4"/>
      <c r="L471" s="13"/>
      <c r="N471" s="6"/>
    </row>
    <row r="472" spans="2:14" ht="15.75" customHeight="1" x14ac:dyDescent="0.25">
      <c r="B472" s="6"/>
      <c r="D472" s="4"/>
      <c r="E472" s="4"/>
      <c r="L472" s="13"/>
      <c r="N472" s="6"/>
    </row>
    <row r="473" spans="2:14" ht="15.75" customHeight="1" x14ac:dyDescent="0.25">
      <c r="B473" s="6"/>
      <c r="D473" s="4"/>
      <c r="E473" s="4"/>
      <c r="L473" s="13"/>
      <c r="N473" s="6"/>
    </row>
    <row r="474" spans="2:14" ht="15.75" customHeight="1" x14ac:dyDescent="0.25">
      <c r="B474" s="6"/>
      <c r="D474" s="4"/>
      <c r="E474" s="4"/>
      <c r="L474" s="13"/>
      <c r="N474" s="6"/>
    </row>
    <row r="475" spans="2:14" ht="15.75" customHeight="1" x14ac:dyDescent="0.25">
      <c r="B475" s="6"/>
      <c r="D475" s="4"/>
      <c r="E475" s="4"/>
      <c r="L475" s="13"/>
      <c r="N475" s="6"/>
    </row>
    <row r="476" spans="2:14" ht="15.75" customHeight="1" x14ac:dyDescent="0.25">
      <c r="B476" s="6"/>
      <c r="D476" s="4"/>
      <c r="E476" s="4"/>
      <c r="L476" s="13"/>
      <c r="N476" s="6"/>
    </row>
    <row r="477" spans="2:14" ht="15.75" customHeight="1" x14ac:dyDescent="0.25">
      <c r="B477" s="6"/>
      <c r="D477" s="4"/>
      <c r="E477" s="4"/>
      <c r="L477" s="13"/>
      <c r="N477" s="6"/>
    </row>
    <row r="478" spans="2:14" ht="15.75" customHeight="1" x14ac:dyDescent="0.25">
      <c r="B478" s="6"/>
      <c r="D478" s="4"/>
      <c r="E478" s="4"/>
      <c r="L478" s="13"/>
      <c r="N478" s="6"/>
    </row>
    <row r="479" spans="2:14" ht="15.75" customHeight="1" x14ac:dyDescent="0.25">
      <c r="B479" s="6"/>
      <c r="D479" s="4"/>
      <c r="E479" s="4"/>
      <c r="L479" s="13"/>
      <c r="N479" s="6"/>
    </row>
    <row r="480" spans="2:14" ht="15.75" customHeight="1" x14ac:dyDescent="0.25">
      <c r="B480" s="6"/>
      <c r="D480" s="4"/>
      <c r="E480" s="4"/>
      <c r="L480" s="13"/>
      <c r="N480" s="6"/>
    </row>
    <row r="481" spans="2:14" ht="15.75" customHeight="1" x14ac:dyDescent="0.25">
      <c r="B481" s="6"/>
      <c r="D481" s="4"/>
      <c r="E481" s="4"/>
      <c r="L481" s="13"/>
      <c r="N481" s="6"/>
    </row>
    <row r="482" spans="2:14" ht="15.75" customHeight="1" x14ac:dyDescent="0.25">
      <c r="B482" s="6"/>
      <c r="D482" s="4"/>
      <c r="E482" s="4"/>
      <c r="L482" s="13"/>
      <c r="N482" s="6"/>
    </row>
    <row r="483" spans="2:14" ht="15.75" customHeight="1" x14ac:dyDescent="0.25">
      <c r="B483" s="6"/>
      <c r="D483" s="4"/>
      <c r="E483" s="4"/>
      <c r="L483" s="13"/>
      <c r="N483" s="6"/>
    </row>
    <row r="484" spans="2:14" ht="15.75" customHeight="1" x14ac:dyDescent="0.25">
      <c r="B484" s="6"/>
      <c r="D484" s="4"/>
      <c r="E484" s="4"/>
      <c r="L484" s="13"/>
      <c r="N484" s="6"/>
    </row>
    <row r="485" spans="2:14" ht="15.75" customHeight="1" x14ac:dyDescent="0.25">
      <c r="B485" s="6"/>
      <c r="D485" s="4"/>
      <c r="E485" s="4"/>
      <c r="L485" s="13"/>
      <c r="N485" s="6"/>
    </row>
    <row r="486" spans="2:14" ht="15.75" customHeight="1" x14ac:dyDescent="0.25">
      <c r="B486" s="6"/>
      <c r="D486" s="4"/>
      <c r="E486" s="4"/>
      <c r="L486" s="13"/>
      <c r="N486" s="6"/>
    </row>
    <row r="487" spans="2:14" ht="15.75" customHeight="1" x14ac:dyDescent="0.25">
      <c r="B487" s="6"/>
      <c r="D487" s="4"/>
      <c r="E487" s="4"/>
      <c r="L487" s="13"/>
      <c r="N487" s="6"/>
    </row>
    <row r="488" spans="2:14" ht="15.75" customHeight="1" x14ac:dyDescent="0.25">
      <c r="B488" s="6"/>
      <c r="D488" s="4"/>
      <c r="E488" s="4"/>
      <c r="L488" s="13"/>
      <c r="N488" s="6"/>
    </row>
    <row r="489" spans="2:14" ht="15.75" customHeight="1" x14ac:dyDescent="0.25">
      <c r="B489" s="6"/>
      <c r="D489" s="4"/>
      <c r="E489" s="4"/>
      <c r="L489" s="13"/>
      <c r="N489" s="6"/>
    </row>
    <row r="490" spans="2:14" ht="15.75" customHeight="1" x14ac:dyDescent="0.25">
      <c r="B490" s="6"/>
      <c r="D490" s="4"/>
      <c r="E490" s="4"/>
      <c r="L490" s="13"/>
      <c r="N490" s="6"/>
    </row>
    <row r="491" spans="2:14" ht="15.75" customHeight="1" x14ac:dyDescent="0.25">
      <c r="B491" s="6"/>
      <c r="D491" s="4"/>
      <c r="E491" s="4"/>
      <c r="L491" s="13"/>
      <c r="N491" s="6"/>
    </row>
    <row r="492" spans="2:14" ht="15.75" customHeight="1" x14ac:dyDescent="0.25">
      <c r="B492" s="6"/>
      <c r="D492" s="4"/>
      <c r="E492" s="4"/>
      <c r="L492" s="13"/>
      <c r="N492" s="6"/>
    </row>
    <row r="493" spans="2:14" ht="15.75" customHeight="1" x14ac:dyDescent="0.25">
      <c r="B493" s="6"/>
      <c r="D493" s="4"/>
      <c r="E493" s="4"/>
      <c r="L493" s="13"/>
      <c r="N493" s="6"/>
    </row>
    <row r="494" spans="2:14" ht="15.75" customHeight="1" x14ac:dyDescent="0.25">
      <c r="B494" s="6"/>
      <c r="D494" s="4"/>
      <c r="E494" s="4"/>
      <c r="L494" s="13"/>
      <c r="N494" s="6"/>
    </row>
    <row r="495" spans="2:14" ht="15.75" customHeight="1" x14ac:dyDescent="0.25">
      <c r="B495" s="6"/>
      <c r="D495" s="4"/>
      <c r="E495" s="4"/>
      <c r="L495" s="13"/>
      <c r="N495" s="6"/>
    </row>
    <row r="496" spans="2:14" ht="15.75" customHeight="1" x14ac:dyDescent="0.25">
      <c r="B496" s="6"/>
      <c r="D496" s="4"/>
      <c r="E496" s="4"/>
      <c r="L496" s="13"/>
      <c r="N496" s="6"/>
    </row>
    <row r="497" spans="2:14" ht="15.75" customHeight="1" x14ac:dyDescent="0.25">
      <c r="B497" s="6"/>
      <c r="D497" s="4"/>
      <c r="E497" s="4"/>
      <c r="L497" s="13"/>
      <c r="N497" s="6"/>
    </row>
    <row r="498" spans="2:14" ht="15.75" customHeight="1" x14ac:dyDescent="0.25">
      <c r="B498" s="6"/>
      <c r="D498" s="4"/>
      <c r="E498" s="4"/>
      <c r="L498" s="13"/>
      <c r="N498" s="6"/>
    </row>
    <row r="499" spans="2:14" ht="15.75" customHeight="1" x14ac:dyDescent="0.25">
      <c r="B499" s="6"/>
      <c r="D499" s="4"/>
      <c r="E499" s="4"/>
      <c r="L499" s="13"/>
      <c r="N499" s="6"/>
    </row>
    <row r="500" spans="2:14" ht="15.75" customHeight="1" x14ac:dyDescent="0.25">
      <c r="B500" s="6"/>
      <c r="D500" s="4"/>
      <c r="E500" s="4"/>
      <c r="L500" s="13"/>
      <c r="N500" s="6"/>
    </row>
    <row r="501" spans="2:14" ht="15.75" customHeight="1" x14ac:dyDescent="0.25">
      <c r="B501" s="6"/>
      <c r="D501" s="4"/>
      <c r="E501" s="4"/>
      <c r="L501" s="13"/>
      <c r="N501" s="6"/>
    </row>
    <row r="502" spans="2:14" ht="15.75" customHeight="1" x14ac:dyDescent="0.25">
      <c r="B502" s="6"/>
      <c r="D502" s="4"/>
      <c r="E502" s="4"/>
      <c r="L502" s="13"/>
      <c r="N502" s="6"/>
    </row>
    <row r="503" spans="2:14" ht="15.75" customHeight="1" x14ac:dyDescent="0.25">
      <c r="B503" s="6"/>
      <c r="D503" s="4"/>
      <c r="E503" s="4"/>
      <c r="L503" s="13"/>
      <c r="N503" s="6"/>
    </row>
    <row r="504" spans="2:14" ht="15.75" customHeight="1" x14ac:dyDescent="0.25">
      <c r="B504" s="6"/>
      <c r="D504" s="4"/>
      <c r="E504" s="4"/>
      <c r="L504" s="13"/>
      <c r="N504" s="6"/>
    </row>
    <row r="505" spans="2:14" ht="15.75" customHeight="1" x14ac:dyDescent="0.25">
      <c r="B505" s="6"/>
      <c r="D505" s="4"/>
      <c r="E505" s="4"/>
      <c r="L505" s="13"/>
      <c r="N505" s="6"/>
    </row>
    <row r="506" spans="2:14" ht="15.75" customHeight="1" x14ac:dyDescent="0.25">
      <c r="B506" s="6"/>
      <c r="D506" s="4"/>
      <c r="E506" s="4"/>
      <c r="L506" s="13"/>
      <c r="N506" s="6"/>
    </row>
    <row r="507" spans="2:14" ht="15.75" customHeight="1" x14ac:dyDescent="0.25">
      <c r="B507" s="6"/>
      <c r="D507" s="4"/>
      <c r="E507" s="4"/>
      <c r="L507" s="13"/>
      <c r="N507" s="6"/>
    </row>
    <row r="508" spans="2:14" ht="15.75" customHeight="1" x14ac:dyDescent="0.25">
      <c r="B508" s="6"/>
      <c r="D508" s="4"/>
      <c r="E508" s="4"/>
      <c r="L508" s="13"/>
      <c r="N508" s="6"/>
    </row>
    <row r="509" spans="2:14" ht="15.75" customHeight="1" x14ac:dyDescent="0.25">
      <c r="B509" s="6"/>
      <c r="D509" s="4"/>
      <c r="E509" s="4"/>
      <c r="L509" s="13"/>
      <c r="N509" s="6"/>
    </row>
    <row r="510" spans="2:14" ht="15.75" customHeight="1" x14ac:dyDescent="0.25">
      <c r="B510" s="6"/>
      <c r="D510" s="4"/>
      <c r="E510" s="4"/>
      <c r="L510" s="13"/>
      <c r="N510" s="6"/>
    </row>
    <row r="511" spans="2:14" ht="15.75" customHeight="1" x14ac:dyDescent="0.25">
      <c r="B511" s="6"/>
      <c r="D511" s="4"/>
      <c r="E511" s="4"/>
      <c r="L511" s="13"/>
      <c r="N511" s="6"/>
    </row>
    <row r="512" spans="2:14" ht="15.75" customHeight="1" x14ac:dyDescent="0.25">
      <c r="B512" s="6"/>
      <c r="D512" s="4"/>
      <c r="E512" s="4"/>
      <c r="L512" s="13"/>
      <c r="N512" s="6"/>
    </row>
    <row r="513" spans="2:14" ht="15.75" customHeight="1" x14ac:dyDescent="0.25">
      <c r="B513" s="6"/>
      <c r="D513" s="4"/>
      <c r="E513" s="4"/>
      <c r="L513" s="13"/>
      <c r="N513" s="6"/>
    </row>
    <row r="514" spans="2:14" ht="15.75" customHeight="1" x14ac:dyDescent="0.25">
      <c r="B514" s="6"/>
      <c r="D514" s="4"/>
      <c r="E514" s="4"/>
      <c r="L514" s="13"/>
      <c r="N514" s="6"/>
    </row>
    <row r="515" spans="2:14" ht="15.75" customHeight="1" x14ac:dyDescent="0.25">
      <c r="B515" s="6"/>
      <c r="D515" s="4"/>
      <c r="E515" s="4"/>
      <c r="L515" s="13"/>
      <c r="N515" s="6"/>
    </row>
    <row r="516" spans="2:14" ht="15.75" customHeight="1" x14ac:dyDescent="0.25">
      <c r="B516" s="6"/>
      <c r="D516" s="4"/>
      <c r="E516" s="4"/>
      <c r="L516" s="13"/>
      <c r="N516" s="6"/>
    </row>
    <row r="517" spans="2:14" ht="15.75" customHeight="1" x14ac:dyDescent="0.25">
      <c r="B517" s="6"/>
      <c r="D517" s="4"/>
      <c r="E517" s="4"/>
      <c r="L517" s="13"/>
      <c r="N517" s="6"/>
    </row>
    <row r="518" spans="2:14" ht="15.75" customHeight="1" x14ac:dyDescent="0.25">
      <c r="B518" s="6"/>
      <c r="D518" s="4"/>
      <c r="E518" s="4"/>
      <c r="L518" s="13"/>
      <c r="N518" s="6"/>
    </row>
    <row r="519" spans="2:14" ht="15.75" customHeight="1" x14ac:dyDescent="0.25">
      <c r="B519" s="6"/>
      <c r="D519" s="4"/>
      <c r="E519" s="4"/>
      <c r="L519" s="13"/>
      <c r="N519" s="6"/>
    </row>
    <row r="520" spans="2:14" ht="15.75" customHeight="1" x14ac:dyDescent="0.25">
      <c r="B520" s="6"/>
      <c r="D520" s="4"/>
      <c r="E520" s="4"/>
      <c r="L520" s="13"/>
      <c r="N520" s="6"/>
    </row>
    <row r="521" spans="2:14" ht="15.75" customHeight="1" x14ac:dyDescent="0.25">
      <c r="B521" s="6"/>
      <c r="D521" s="4"/>
      <c r="E521" s="4"/>
      <c r="L521" s="13"/>
      <c r="N521" s="6"/>
    </row>
    <row r="522" spans="2:14" ht="15.75" customHeight="1" x14ac:dyDescent="0.25">
      <c r="B522" s="6"/>
      <c r="D522" s="4"/>
      <c r="E522" s="4"/>
      <c r="L522" s="13"/>
      <c r="N522" s="6"/>
    </row>
    <row r="523" spans="2:14" ht="15.75" customHeight="1" x14ac:dyDescent="0.25">
      <c r="B523" s="6"/>
      <c r="D523" s="4"/>
      <c r="E523" s="4"/>
      <c r="L523" s="13"/>
      <c r="N523" s="6"/>
    </row>
    <row r="524" spans="2:14" ht="15.75" customHeight="1" x14ac:dyDescent="0.25">
      <c r="B524" s="6"/>
      <c r="D524" s="4"/>
      <c r="E524" s="4"/>
      <c r="L524" s="13"/>
      <c r="N524" s="6"/>
    </row>
    <row r="525" spans="2:14" ht="15.75" customHeight="1" x14ac:dyDescent="0.25">
      <c r="B525" s="6"/>
      <c r="D525" s="4"/>
      <c r="E525" s="4"/>
      <c r="L525" s="13"/>
      <c r="N525" s="6"/>
    </row>
    <row r="526" spans="2:14" ht="15.75" customHeight="1" x14ac:dyDescent="0.25">
      <c r="B526" s="6"/>
      <c r="D526" s="4"/>
      <c r="E526" s="4"/>
      <c r="L526" s="13"/>
      <c r="N526" s="6"/>
    </row>
    <row r="527" spans="2:14" ht="15.75" customHeight="1" x14ac:dyDescent="0.25">
      <c r="B527" s="6"/>
      <c r="D527" s="4"/>
      <c r="E527" s="4"/>
      <c r="L527" s="13"/>
      <c r="N527" s="6"/>
    </row>
    <row r="528" spans="2:14" ht="15.75" customHeight="1" x14ac:dyDescent="0.25">
      <c r="B528" s="6"/>
      <c r="D528" s="4"/>
      <c r="E528" s="4"/>
      <c r="L528" s="13"/>
      <c r="N528" s="6"/>
    </row>
    <row r="529" spans="2:14" ht="15.75" customHeight="1" x14ac:dyDescent="0.25">
      <c r="B529" s="6"/>
      <c r="D529" s="4"/>
      <c r="E529" s="4"/>
      <c r="L529" s="13"/>
      <c r="N529" s="6"/>
    </row>
    <row r="530" spans="2:14" ht="15.75" customHeight="1" x14ac:dyDescent="0.25">
      <c r="B530" s="6"/>
      <c r="D530" s="4"/>
      <c r="E530" s="4"/>
      <c r="L530" s="13"/>
      <c r="N530" s="6"/>
    </row>
    <row r="531" spans="2:14" ht="15.75" customHeight="1" x14ac:dyDescent="0.25">
      <c r="B531" s="6"/>
      <c r="D531" s="4"/>
      <c r="E531" s="4"/>
      <c r="L531" s="13"/>
      <c r="N531" s="6"/>
    </row>
    <row r="532" spans="2:14" ht="15.75" customHeight="1" x14ac:dyDescent="0.25">
      <c r="B532" s="6"/>
      <c r="D532" s="4"/>
      <c r="E532" s="4"/>
      <c r="L532" s="13"/>
      <c r="N532" s="6"/>
    </row>
    <row r="533" spans="2:14" ht="15.75" customHeight="1" x14ac:dyDescent="0.25">
      <c r="B533" s="6"/>
      <c r="D533" s="4"/>
      <c r="E533" s="4"/>
      <c r="L533" s="13"/>
      <c r="N533" s="6"/>
    </row>
    <row r="534" spans="2:14" ht="15.75" customHeight="1" x14ac:dyDescent="0.25">
      <c r="B534" s="6"/>
      <c r="D534" s="4"/>
      <c r="E534" s="4"/>
      <c r="L534" s="13"/>
      <c r="N534" s="6"/>
    </row>
    <row r="535" spans="2:14" ht="15.75" customHeight="1" x14ac:dyDescent="0.25">
      <c r="B535" s="6"/>
      <c r="D535" s="4"/>
      <c r="E535" s="4"/>
      <c r="L535" s="13"/>
      <c r="N535" s="6"/>
    </row>
    <row r="536" spans="2:14" ht="15.75" customHeight="1" x14ac:dyDescent="0.25">
      <c r="B536" s="6"/>
      <c r="D536" s="4"/>
      <c r="E536" s="4"/>
      <c r="L536" s="13"/>
      <c r="N536" s="6"/>
    </row>
    <row r="537" spans="2:14" ht="15.75" customHeight="1" x14ac:dyDescent="0.25">
      <c r="B537" s="6"/>
      <c r="D537" s="4"/>
      <c r="E537" s="4"/>
      <c r="L537" s="13"/>
      <c r="N537" s="6"/>
    </row>
    <row r="538" spans="2:14" ht="15.75" customHeight="1" x14ac:dyDescent="0.25">
      <c r="B538" s="6"/>
      <c r="D538" s="4"/>
      <c r="E538" s="4"/>
      <c r="L538" s="13"/>
      <c r="N538" s="6"/>
    </row>
    <row r="539" spans="2:14" ht="15.75" customHeight="1" x14ac:dyDescent="0.25">
      <c r="B539" s="6"/>
      <c r="D539" s="4"/>
      <c r="E539" s="4"/>
      <c r="L539" s="13"/>
      <c r="N539" s="6"/>
    </row>
    <row r="540" spans="2:14" ht="15.75" customHeight="1" x14ac:dyDescent="0.25">
      <c r="B540" s="6"/>
      <c r="D540" s="4"/>
      <c r="E540" s="4"/>
      <c r="L540" s="13"/>
      <c r="N540" s="6"/>
    </row>
    <row r="541" spans="2:14" ht="15.75" customHeight="1" x14ac:dyDescent="0.25">
      <c r="B541" s="6"/>
      <c r="D541" s="4"/>
      <c r="E541" s="4"/>
      <c r="L541" s="13"/>
      <c r="N541" s="6"/>
    </row>
    <row r="542" spans="2:14" ht="15.75" customHeight="1" x14ac:dyDescent="0.25">
      <c r="B542" s="6"/>
      <c r="D542" s="4"/>
      <c r="E542" s="4"/>
      <c r="L542" s="13"/>
      <c r="N542" s="6"/>
    </row>
    <row r="543" spans="2:14" ht="15.75" customHeight="1" x14ac:dyDescent="0.25">
      <c r="B543" s="6"/>
      <c r="D543" s="4"/>
      <c r="E543" s="4"/>
      <c r="L543" s="13"/>
      <c r="N543" s="6"/>
    </row>
    <row r="544" spans="2:14" ht="15.75" customHeight="1" x14ac:dyDescent="0.25">
      <c r="B544" s="6"/>
      <c r="D544" s="4"/>
      <c r="E544" s="4"/>
      <c r="L544" s="13"/>
      <c r="N544" s="6"/>
    </row>
    <row r="545" spans="2:14" ht="15.75" customHeight="1" x14ac:dyDescent="0.25">
      <c r="B545" s="6"/>
      <c r="D545" s="4"/>
      <c r="E545" s="4"/>
      <c r="L545" s="13"/>
      <c r="N545" s="6"/>
    </row>
    <row r="546" spans="2:14" ht="15.75" customHeight="1" x14ac:dyDescent="0.25">
      <c r="B546" s="6"/>
      <c r="D546" s="4"/>
      <c r="E546" s="4"/>
      <c r="L546" s="13"/>
      <c r="N546" s="6"/>
    </row>
    <row r="547" spans="2:14" ht="15.75" customHeight="1" x14ac:dyDescent="0.25">
      <c r="B547" s="6"/>
      <c r="D547" s="4"/>
      <c r="E547" s="4"/>
      <c r="L547" s="13"/>
      <c r="N547" s="6"/>
    </row>
    <row r="548" spans="2:14" ht="15.75" customHeight="1" x14ac:dyDescent="0.25">
      <c r="B548" s="6"/>
      <c r="D548" s="4"/>
      <c r="E548" s="4"/>
      <c r="L548" s="13"/>
      <c r="N548" s="6"/>
    </row>
    <row r="549" spans="2:14" ht="15.75" customHeight="1" x14ac:dyDescent="0.25">
      <c r="B549" s="6"/>
      <c r="D549" s="4"/>
      <c r="E549" s="4"/>
      <c r="L549" s="13"/>
      <c r="N549" s="6"/>
    </row>
    <row r="550" spans="2:14" ht="15.75" customHeight="1" x14ac:dyDescent="0.25">
      <c r="B550" s="6"/>
      <c r="D550" s="4"/>
      <c r="E550" s="4"/>
      <c r="L550" s="13"/>
      <c r="N550" s="6"/>
    </row>
    <row r="551" spans="2:14" ht="15.75" customHeight="1" x14ac:dyDescent="0.25">
      <c r="B551" s="6"/>
      <c r="D551" s="4"/>
      <c r="E551" s="4"/>
      <c r="L551" s="13"/>
      <c r="N551" s="6"/>
    </row>
    <row r="552" spans="2:14" ht="15.75" customHeight="1" x14ac:dyDescent="0.25">
      <c r="B552" s="6"/>
      <c r="D552" s="4"/>
      <c r="E552" s="4"/>
      <c r="L552" s="13"/>
      <c r="N552" s="6"/>
    </row>
    <row r="553" spans="2:14" ht="15.75" customHeight="1" x14ac:dyDescent="0.25">
      <c r="B553" s="6"/>
      <c r="D553" s="4"/>
      <c r="E553" s="4"/>
      <c r="L553" s="13"/>
      <c r="N553" s="6"/>
    </row>
    <row r="554" spans="2:14" ht="15.75" customHeight="1" x14ac:dyDescent="0.25">
      <c r="B554" s="6"/>
      <c r="D554" s="4"/>
      <c r="E554" s="4"/>
      <c r="L554" s="13"/>
      <c r="N554" s="6"/>
    </row>
    <row r="555" spans="2:14" ht="15.75" customHeight="1" x14ac:dyDescent="0.25">
      <c r="B555" s="6"/>
      <c r="D555" s="4"/>
      <c r="E555" s="4"/>
      <c r="L555" s="13"/>
      <c r="N555" s="6"/>
    </row>
    <row r="556" spans="2:14" ht="15.75" customHeight="1" x14ac:dyDescent="0.25">
      <c r="B556" s="6"/>
      <c r="D556" s="4"/>
      <c r="E556" s="4"/>
      <c r="L556" s="13"/>
      <c r="N556" s="6"/>
    </row>
    <row r="557" spans="2:14" ht="15.75" customHeight="1" x14ac:dyDescent="0.25">
      <c r="B557" s="6"/>
      <c r="D557" s="4"/>
      <c r="E557" s="4"/>
      <c r="L557" s="13"/>
      <c r="N557" s="6"/>
    </row>
    <row r="558" spans="2:14" ht="15.75" customHeight="1" x14ac:dyDescent="0.25">
      <c r="B558" s="6"/>
      <c r="D558" s="4"/>
      <c r="E558" s="4"/>
      <c r="L558" s="13"/>
      <c r="N558" s="6"/>
    </row>
    <row r="559" spans="2:14" ht="15.75" customHeight="1" x14ac:dyDescent="0.25">
      <c r="B559" s="6"/>
      <c r="D559" s="4"/>
      <c r="E559" s="4"/>
      <c r="L559" s="13"/>
      <c r="N559" s="6"/>
    </row>
    <row r="560" spans="2:14" ht="15.75" customHeight="1" x14ac:dyDescent="0.25">
      <c r="B560" s="6"/>
      <c r="D560" s="4"/>
      <c r="E560" s="4"/>
      <c r="L560" s="13"/>
      <c r="N560" s="6"/>
    </row>
    <row r="561" spans="2:14" ht="15.75" customHeight="1" x14ac:dyDescent="0.25">
      <c r="B561" s="6"/>
      <c r="D561" s="4"/>
      <c r="E561" s="4"/>
      <c r="L561" s="13"/>
      <c r="N561" s="6"/>
    </row>
    <row r="562" spans="2:14" ht="15.75" customHeight="1" x14ac:dyDescent="0.25">
      <c r="B562" s="6"/>
      <c r="D562" s="4"/>
      <c r="E562" s="4"/>
      <c r="L562" s="13"/>
      <c r="N562" s="6"/>
    </row>
    <row r="563" spans="2:14" ht="15.75" customHeight="1" x14ac:dyDescent="0.25">
      <c r="B563" s="6"/>
      <c r="D563" s="4"/>
      <c r="E563" s="4"/>
      <c r="L563" s="13"/>
      <c r="N563" s="6"/>
    </row>
    <row r="564" spans="2:14" ht="15.75" customHeight="1" x14ac:dyDescent="0.25">
      <c r="B564" s="6"/>
      <c r="D564" s="4"/>
      <c r="E564" s="4"/>
      <c r="L564" s="13"/>
      <c r="N564" s="6"/>
    </row>
    <row r="565" spans="2:14" ht="15.75" customHeight="1" x14ac:dyDescent="0.25">
      <c r="B565" s="6"/>
      <c r="D565" s="4"/>
      <c r="E565" s="4"/>
      <c r="L565" s="13"/>
      <c r="N565" s="6"/>
    </row>
    <row r="566" spans="2:14" ht="15.75" customHeight="1" x14ac:dyDescent="0.25">
      <c r="B566" s="6"/>
      <c r="D566" s="4"/>
      <c r="E566" s="4"/>
      <c r="L566" s="13"/>
      <c r="N566" s="6"/>
    </row>
    <row r="567" spans="2:14" ht="15.75" customHeight="1" x14ac:dyDescent="0.25">
      <c r="B567" s="6"/>
      <c r="D567" s="4"/>
      <c r="E567" s="4"/>
      <c r="L567" s="13"/>
      <c r="N567" s="6"/>
    </row>
    <row r="568" spans="2:14" ht="15.75" customHeight="1" x14ac:dyDescent="0.25">
      <c r="B568" s="6"/>
      <c r="D568" s="4"/>
      <c r="E568" s="4"/>
      <c r="L568" s="13"/>
      <c r="N568" s="6"/>
    </row>
    <row r="569" spans="2:14" ht="15.75" customHeight="1" x14ac:dyDescent="0.25">
      <c r="B569" s="6"/>
      <c r="D569" s="4"/>
      <c r="E569" s="4"/>
      <c r="L569" s="13"/>
      <c r="N569" s="6"/>
    </row>
    <row r="570" spans="2:14" ht="15.75" customHeight="1" x14ac:dyDescent="0.25">
      <c r="B570" s="6"/>
      <c r="D570" s="4"/>
      <c r="E570" s="4"/>
      <c r="L570" s="13"/>
      <c r="N570" s="6"/>
    </row>
    <row r="571" spans="2:14" ht="15.75" customHeight="1" x14ac:dyDescent="0.25">
      <c r="B571" s="6"/>
      <c r="D571" s="4"/>
      <c r="E571" s="4"/>
      <c r="L571" s="13"/>
      <c r="N571" s="6"/>
    </row>
    <row r="572" spans="2:14" ht="15.75" customHeight="1" x14ac:dyDescent="0.25">
      <c r="B572" s="6"/>
      <c r="D572" s="4"/>
      <c r="E572" s="4"/>
      <c r="L572" s="13"/>
      <c r="N572" s="6"/>
    </row>
    <row r="573" spans="2:14" ht="15.75" customHeight="1" x14ac:dyDescent="0.25">
      <c r="B573" s="6"/>
      <c r="D573" s="4"/>
      <c r="E573" s="4"/>
      <c r="L573" s="13"/>
      <c r="N573" s="6"/>
    </row>
    <row r="574" spans="2:14" ht="15.75" customHeight="1" x14ac:dyDescent="0.25">
      <c r="B574" s="6"/>
      <c r="D574" s="4"/>
      <c r="E574" s="4"/>
      <c r="L574" s="13"/>
      <c r="N574" s="6"/>
    </row>
    <row r="575" spans="2:14" ht="15.75" customHeight="1" x14ac:dyDescent="0.25">
      <c r="B575" s="6"/>
      <c r="D575" s="4"/>
      <c r="E575" s="4"/>
      <c r="L575" s="13"/>
      <c r="N575" s="6"/>
    </row>
    <row r="576" spans="2:14" ht="15.75" customHeight="1" x14ac:dyDescent="0.25">
      <c r="B576" s="6"/>
      <c r="D576" s="4"/>
      <c r="E576" s="4"/>
      <c r="L576" s="13"/>
      <c r="N576" s="6"/>
    </row>
    <row r="577" spans="2:14" ht="15.75" customHeight="1" x14ac:dyDescent="0.25">
      <c r="B577" s="6"/>
      <c r="D577" s="4"/>
      <c r="E577" s="4"/>
      <c r="L577" s="13"/>
      <c r="N577" s="6"/>
    </row>
    <row r="578" spans="2:14" ht="15.75" customHeight="1" x14ac:dyDescent="0.25">
      <c r="B578" s="6"/>
      <c r="D578" s="4"/>
      <c r="E578" s="4"/>
      <c r="L578" s="13"/>
      <c r="N578" s="6"/>
    </row>
    <row r="579" spans="2:14" ht="15.75" customHeight="1" x14ac:dyDescent="0.25">
      <c r="B579" s="6"/>
      <c r="D579" s="4"/>
      <c r="E579" s="4"/>
      <c r="L579" s="13"/>
      <c r="N579" s="6"/>
    </row>
    <row r="580" spans="2:14" ht="15.75" customHeight="1" x14ac:dyDescent="0.25">
      <c r="B580" s="6"/>
      <c r="D580" s="4"/>
      <c r="E580" s="4"/>
      <c r="L580" s="13"/>
      <c r="N580" s="6"/>
    </row>
    <row r="581" spans="2:14" ht="15.75" customHeight="1" x14ac:dyDescent="0.25">
      <c r="B581" s="6"/>
      <c r="D581" s="4"/>
      <c r="E581" s="4"/>
      <c r="L581" s="13"/>
      <c r="N581" s="6"/>
    </row>
    <row r="582" spans="2:14" ht="15.75" customHeight="1" x14ac:dyDescent="0.25">
      <c r="B582" s="6"/>
      <c r="D582" s="4"/>
      <c r="E582" s="4"/>
      <c r="L582" s="13"/>
      <c r="N582" s="6"/>
    </row>
    <row r="583" spans="2:14" ht="15.75" customHeight="1" x14ac:dyDescent="0.25">
      <c r="B583" s="6"/>
      <c r="D583" s="4"/>
      <c r="E583" s="4"/>
      <c r="L583" s="13"/>
      <c r="N583" s="6"/>
    </row>
    <row r="584" spans="2:14" ht="15.75" customHeight="1" x14ac:dyDescent="0.25">
      <c r="B584" s="6"/>
      <c r="D584" s="4"/>
      <c r="E584" s="4"/>
      <c r="L584" s="13"/>
      <c r="N584" s="6"/>
    </row>
    <row r="585" spans="2:14" ht="15.75" customHeight="1" x14ac:dyDescent="0.25">
      <c r="B585" s="6"/>
      <c r="D585" s="4"/>
      <c r="E585" s="4"/>
      <c r="L585" s="13"/>
      <c r="N585" s="6"/>
    </row>
    <row r="586" spans="2:14" ht="15.75" customHeight="1" x14ac:dyDescent="0.25">
      <c r="B586" s="6"/>
      <c r="D586" s="4"/>
      <c r="E586" s="4"/>
      <c r="L586" s="13"/>
      <c r="N586" s="6"/>
    </row>
    <row r="587" spans="2:14" ht="15.75" customHeight="1" x14ac:dyDescent="0.25">
      <c r="B587" s="6"/>
      <c r="D587" s="4"/>
      <c r="E587" s="4"/>
      <c r="L587" s="13"/>
      <c r="N587" s="6"/>
    </row>
    <row r="588" spans="2:14" ht="15.75" customHeight="1" x14ac:dyDescent="0.25">
      <c r="B588" s="6"/>
      <c r="D588" s="4"/>
      <c r="E588" s="4"/>
      <c r="L588" s="13"/>
      <c r="N588" s="6"/>
    </row>
    <row r="589" spans="2:14" ht="15.75" customHeight="1" x14ac:dyDescent="0.25">
      <c r="B589" s="6"/>
      <c r="D589" s="4"/>
      <c r="E589" s="4"/>
      <c r="L589" s="13"/>
      <c r="N589" s="6"/>
    </row>
    <row r="590" spans="2:14" ht="15.75" customHeight="1" x14ac:dyDescent="0.25">
      <c r="B590" s="6"/>
      <c r="D590" s="4"/>
      <c r="E590" s="4"/>
      <c r="L590" s="13"/>
      <c r="N590" s="6"/>
    </row>
    <row r="591" spans="2:14" ht="15.75" customHeight="1" x14ac:dyDescent="0.25">
      <c r="B591" s="6"/>
      <c r="D591" s="4"/>
      <c r="E591" s="4"/>
      <c r="L591" s="13"/>
      <c r="N591" s="6"/>
    </row>
    <row r="592" spans="2:14" ht="15.75" customHeight="1" x14ac:dyDescent="0.25">
      <c r="B592" s="6"/>
      <c r="D592" s="4"/>
      <c r="E592" s="4"/>
      <c r="L592" s="13"/>
      <c r="N592" s="6"/>
    </row>
    <row r="593" spans="2:14" ht="15.75" customHeight="1" x14ac:dyDescent="0.25">
      <c r="B593" s="6"/>
      <c r="D593" s="4"/>
      <c r="E593" s="4"/>
      <c r="L593" s="13"/>
      <c r="N593" s="6"/>
    </row>
    <row r="594" spans="2:14" ht="15.75" customHeight="1" x14ac:dyDescent="0.25">
      <c r="B594" s="6"/>
      <c r="D594" s="4"/>
      <c r="E594" s="4"/>
      <c r="L594" s="13"/>
      <c r="N594" s="6"/>
    </row>
    <row r="595" spans="2:14" ht="15.75" customHeight="1" x14ac:dyDescent="0.25">
      <c r="B595" s="6"/>
      <c r="D595" s="4"/>
      <c r="E595" s="4"/>
      <c r="L595" s="13"/>
      <c r="N595" s="6"/>
    </row>
    <row r="596" spans="2:14" ht="15.75" customHeight="1" x14ac:dyDescent="0.25">
      <c r="B596" s="6"/>
      <c r="D596" s="4"/>
      <c r="E596" s="4"/>
      <c r="L596" s="13"/>
      <c r="N596" s="6"/>
    </row>
    <row r="597" spans="2:14" ht="15.75" customHeight="1" x14ac:dyDescent="0.25">
      <c r="B597" s="6"/>
      <c r="D597" s="4"/>
      <c r="E597" s="4"/>
      <c r="L597" s="13"/>
      <c r="N597" s="6"/>
    </row>
    <row r="598" spans="2:14" ht="15.75" customHeight="1" x14ac:dyDescent="0.25">
      <c r="B598" s="6"/>
      <c r="D598" s="4"/>
      <c r="E598" s="4"/>
      <c r="L598" s="13"/>
      <c r="N598" s="6"/>
    </row>
    <row r="599" spans="2:14" ht="15.75" customHeight="1" x14ac:dyDescent="0.25">
      <c r="B599" s="6"/>
      <c r="D599" s="4"/>
      <c r="E599" s="4"/>
      <c r="L599" s="13"/>
      <c r="N599" s="6"/>
    </row>
    <row r="600" spans="2:14" ht="15.75" customHeight="1" x14ac:dyDescent="0.25">
      <c r="B600" s="6"/>
      <c r="D600" s="4"/>
      <c r="E600" s="4"/>
      <c r="L600" s="13"/>
      <c r="N600" s="6"/>
    </row>
    <row r="601" spans="2:14" ht="15.75" customHeight="1" x14ac:dyDescent="0.25">
      <c r="B601" s="6"/>
      <c r="D601" s="4"/>
      <c r="E601" s="4"/>
      <c r="L601" s="13"/>
      <c r="N601" s="6"/>
    </row>
    <row r="602" spans="2:14" ht="15.75" customHeight="1" x14ac:dyDescent="0.25">
      <c r="B602" s="6"/>
      <c r="D602" s="4"/>
      <c r="E602" s="4"/>
      <c r="L602" s="13"/>
      <c r="N602" s="6"/>
    </row>
    <row r="603" spans="2:14" ht="15.75" customHeight="1" x14ac:dyDescent="0.25">
      <c r="B603" s="6"/>
      <c r="D603" s="4"/>
      <c r="E603" s="4"/>
      <c r="L603" s="13"/>
      <c r="N603" s="6"/>
    </row>
    <row r="604" spans="2:14" ht="15.75" customHeight="1" x14ac:dyDescent="0.25">
      <c r="B604" s="6"/>
      <c r="D604" s="4"/>
      <c r="E604" s="4"/>
      <c r="L604" s="13"/>
      <c r="N604" s="6"/>
    </row>
    <row r="605" spans="2:14" ht="15.75" customHeight="1" x14ac:dyDescent="0.25">
      <c r="B605" s="6"/>
      <c r="D605" s="4"/>
      <c r="E605" s="4"/>
      <c r="L605" s="13"/>
      <c r="N605" s="6"/>
    </row>
    <row r="606" spans="2:14" ht="15.75" customHeight="1" x14ac:dyDescent="0.25">
      <c r="B606" s="6"/>
      <c r="D606" s="4"/>
      <c r="E606" s="4"/>
      <c r="L606" s="13"/>
      <c r="N606" s="6"/>
    </row>
    <row r="607" spans="2:14" ht="15.75" customHeight="1" x14ac:dyDescent="0.25">
      <c r="B607" s="6"/>
      <c r="D607" s="4"/>
      <c r="E607" s="4"/>
      <c r="L607" s="13"/>
      <c r="N607" s="6"/>
    </row>
    <row r="608" spans="2:14" ht="15.75" customHeight="1" x14ac:dyDescent="0.25">
      <c r="B608" s="6"/>
      <c r="D608" s="4"/>
      <c r="E608" s="4"/>
      <c r="L608" s="13"/>
      <c r="N608" s="6"/>
    </row>
    <row r="609" spans="2:14" ht="15.75" customHeight="1" x14ac:dyDescent="0.25">
      <c r="B609" s="6"/>
      <c r="D609" s="4"/>
      <c r="E609" s="4"/>
      <c r="L609" s="13"/>
      <c r="N609" s="6"/>
    </row>
    <row r="610" spans="2:14" ht="15.75" customHeight="1" x14ac:dyDescent="0.25">
      <c r="B610" s="6"/>
      <c r="D610" s="4"/>
      <c r="E610" s="4"/>
      <c r="L610" s="13"/>
      <c r="N610" s="6"/>
    </row>
    <row r="611" spans="2:14" ht="15.75" customHeight="1" x14ac:dyDescent="0.25">
      <c r="B611" s="6"/>
      <c r="D611" s="4"/>
      <c r="E611" s="4"/>
      <c r="L611" s="13"/>
      <c r="N611" s="6"/>
    </row>
    <row r="612" spans="2:14" ht="15.75" customHeight="1" x14ac:dyDescent="0.25">
      <c r="B612" s="6"/>
      <c r="D612" s="4"/>
      <c r="E612" s="4"/>
      <c r="L612" s="13"/>
      <c r="N612" s="6"/>
    </row>
    <row r="613" spans="2:14" ht="15.75" customHeight="1" x14ac:dyDescent="0.25">
      <c r="B613" s="6"/>
      <c r="D613" s="4"/>
      <c r="E613" s="4"/>
      <c r="L613" s="13"/>
      <c r="N613" s="6"/>
    </row>
    <row r="614" spans="2:14" ht="15.75" customHeight="1" x14ac:dyDescent="0.25">
      <c r="B614" s="6"/>
      <c r="D614" s="4"/>
      <c r="E614" s="4"/>
      <c r="L614" s="13"/>
      <c r="N614" s="6"/>
    </row>
    <row r="615" spans="2:14" ht="15.75" customHeight="1" x14ac:dyDescent="0.25">
      <c r="B615" s="6"/>
      <c r="D615" s="4"/>
      <c r="E615" s="4"/>
      <c r="L615" s="13"/>
      <c r="N615" s="6"/>
    </row>
    <row r="616" spans="2:14" ht="15.75" customHeight="1" x14ac:dyDescent="0.25">
      <c r="B616" s="6"/>
      <c r="D616" s="4"/>
      <c r="E616" s="4"/>
      <c r="L616" s="13"/>
      <c r="N616" s="6"/>
    </row>
    <row r="617" spans="2:14" ht="15.75" customHeight="1" x14ac:dyDescent="0.25">
      <c r="B617" s="6"/>
      <c r="D617" s="4"/>
      <c r="E617" s="4"/>
      <c r="L617" s="13"/>
      <c r="N617" s="6"/>
    </row>
    <row r="618" spans="2:14" ht="15.75" customHeight="1" x14ac:dyDescent="0.25">
      <c r="B618" s="6"/>
      <c r="D618" s="4"/>
      <c r="E618" s="4"/>
      <c r="L618" s="13"/>
      <c r="N618" s="6"/>
    </row>
    <row r="619" spans="2:14" ht="15.75" customHeight="1" x14ac:dyDescent="0.25">
      <c r="B619" s="6"/>
      <c r="D619" s="4"/>
      <c r="E619" s="4"/>
      <c r="L619" s="13"/>
      <c r="N619" s="6"/>
    </row>
    <row r="620" spans="2:14" ht="15.75" customHeight="1" x14ac:dyDescent="0.25">
      <c r="B620" s="6"/>
      <c r="D620" s="4"/>
      <c r="E620" s="4"/>
      <c r="L620" s="13"/>
      <c r="N620" s="6"/>
    </row>
    <row r="621" spans="2:14" ht="15.75" customHeight="1" x14ac:dyDescent="0.25">
      <c r="B621" s="6"/>
      <c r="D621" s="4"/>
      <c r="E621" s="4"/>
      <c r="L621" s="13"/>
      <c r="N621" s="6"/>
    </row>
    <row r="622" spans="2:14" ht="15.75" customHeight="1" x14ac:dyDescent="0.25">
      <c r="B622" s="6"/>
      <c r="D622" s="4"/>
      <c r="E622" s="4"/>
      <c r="L622" s="13"/>
      <c r="N622" s="6"/>
    </row>
    <row r="623" spans="2:14" ht="15.75" customHeight="1" x14ac:dyDescent="0.25">
      <c r="B623" s="6"/>
      <c r="D623" s="4"/>
      <c r="E623" s="4"/>
      <c r="L623" s="13"/>
      <c r="N623" s="6"/>
    </row>
    <row r="624" spans="2:14" ht="15.75" customHeight="1" x14ac:dyDescent="0.25">
      <c r="B624" s="6"/>
      <c r="D624" s="4"/>
      <c r="E624" s="4"/>
      <c r="L624" s="13"/>
      <c r="N624" s="6"/>
    </row>
    <row r="625" spans="2:14" ht="15.75" customHeight="1" x14ac:dyDescent="0.25">
      <c r="B625" s="6"/>
      <c r="D625" s="4"/>
      <c r="E625" s="4"/>
      <c r="L625" s="13"/>
      <c r="N625" s="6"/>
    </row>
    <row r="626" spans="2:14" ht="15.75" customHeight="1" x14ac:dyDescent="0.25">
      <c r="B626" s="6"/>
      <c r="D626" s="4"/>
      <c r="E626" s="4"/>
      <c r="L626" s="13"/>
      <c r="N626" s="6"/>
    </row>
    <row r="627" spans="2:14" ht="15.75" customHeight="1" x14ac:dyDescent="0.25">
      <c r="B627" s="6"/>
      <c r="D627" s="4"/>
      <c r="E627" s="4"/>
      <c r="L627" s="13"/>
      <c r="N627" s="6"/>
    </row>
    <row r="628" spans="2:14" ht="15.75" customHeight="1" x14ac:dyDescent="0.25">
      <c r="B628" s="6"/>
      <c r="D628" s="4"/>
      <c r="E628" s="4"/>
      <c r="L628" s="13"/>
      <c r="N628" s="6"/>
    </row>
    <row r="629" spans="2:14" ht="15.75" customHeight="1" x14ac:dyDescent="0.25">
      <c r="B629" s="6"/>
      <c r="D629" s="4"/>
      <c r="E629" s="4"/>
      <c r="L629" s="13"/>
      <c r="N629" s="6"/>
    </row>
    <row r="630" spans="2:14" ht="15.75" customHeight="1" x14ac:dyDescent="0.25">
      <c r="B630" s="6"/>
      <c r="D630" s="4"/>
      <c r="E630" s="4"/>
      <c r="L630" s="13"/>
      <c r="N630" s="6"/>
    </row>
    <row r="631" spans="2:14" ht="15.75" customHeight="1" x14ac:dyDescent="0.25">
      <c r="B631" s="6"/>
      <c r="D631" s="4"/>
      <c r="E631" s="4"/>
      <c r="L631" s="13"/>
      <c r="N631" s="6"/>
    </row>
    <row r="632" spans="2:14" ht="15.75" customHeight="1" x14ac:dyDescent="0.25">
      <c r="B632" s="6"/>
      <c r="D632" s="4"/>
      <c r="E632" s="4"/>
      <c r="L632" s="13"/>
      <c r="N632" s="6"/>
    </row>
    <row r="633" spans="2:14" ht="15.75" customHeight="1" x14ac:dyDescent="0.25">
      <c r="B633" s="6"/>
      <c r="D633" s="4"/>
      <c r="E633" s="4"/>
      <c r="L633" s="13"/>
      <c r="N633" s="6"/>
    </row>
    <row r="634" spans="2:14" ht="15.75" customHeight="1" x14ac:dyDescent="0.25">
      <c r="B634" s="6"/>
      <c r="D634" s="4"/>
      <c r="E634" s="4"/>
      <c r="L634" s="13"/>
      <c r="N634" s="6"/>
    </row>
    <row r="635" spans="2:14" ht="15.75" customHeight="1" x14ac:dyDescent="0.25">
      <c r="B635" s="6"/>
      <c r="D635" s="4"/>
      <c r="E635" s="4"/>
      <c r="L635" s="13"/>
      <c r="N635" s="6"/>
    </row>
    <row r="636" spans="2:14" ht="15.75" customHeight="1" x14ac:dyDescent="0.25">
      <c r="B636" s="6"/>
      <c r="D636" s="4"/>
      <c r="E636" s="4"/>
      <c r="L636" s="13"/>
      <c r="N636" s="6"/>
    </row>
    <row r="637" spans="2:14" ht="15.75" customHeight="1" x14ac:dyDescent="0.25">
      <c r="B637" s="6"/>
      <c r="D637" s="4"/>
      <c r="E637" s="4"/>
      <c r="L637" s="13"/>
      <c r="N637" s="6"/>
    </row>
    <row r="638" spans="2:14" ht="15.75" customHeight="1" x14ac:dyDescent="0.25">
      <c r="B638" s="6"/>
      <c r="D638" s="4"/>
      <c r="E638" s="4"/>
      <c r="L638" s="13"/>
      <c r="N638" s="6"/>
    </row>
    <row r="639" spans="2:14" ht="15.75" customHeight="1" x14ac:dyDescent="0.25">
      <c r="B639" s="6"/>
      <c r="D639" s="4"/>
      <c r="E639" s="4"/>
      <c r="L639" s="13"/>
      <c r="N639" s="6"/>
    </row>
    <row r="640" spans="2:14" ht="15.75" customHeight="1" x14ac:dyDescent="0.25">
      <c r="B640" s="6"/>
      <c r="D640" s="4"/>
      <c r="E640" s="4"/>
      <c r="L640" s="13"/>
      <c r="N640" s="6"/>
    </row>
    <row r="641" spans="2:14" ht="15.75" customHeight="1" x14ac:dyDescent="0.25">
      <c r="B641" s="6"/>
      <c r="D641" s="4"/>
      <c r="E641" s="4"/>
      <c r="L641" s="13"/>
      <c r="N641" s="6"/>
    </row>
    <row r="642" spans="2:14" ht="15.75" customHeight="1" x14ac:dyDescent="0.25">
      <c r="B642" s="6"/>
      <c r="D642" s="4"/>
      <c r="E642" s="4"/>
      <c r="L642" s="13"/>
      <c r="N642" s="6"/>
    </row>
    <row r="643" spans="2:14" ht="15.75" customHeight="1" x14ac:dyDescent="0.25">
      <c r="B643" s="6"/>
      <c r="D643" s="4"/>
      <c r="E643" s="4"/>
      <c r="L643" s="13"/>
      <c r="N643" s="6"/>
    </row>
    <row r="644" spans="2:14" ht="15.75" customHeight="1" x14ac:dyDescent="0.25">
      <c r="B644" s="6"/>
      <c r="D644" s="4"/>
      <c r="E644" s="4"/>
      <c r="L644" s="13"/>
      <c r="N644" s="6"/>
    </row>
    <row r="645" spans="2:14" ht="15.75" customHeight="1" x14ac:dyDescent="0.25">
      <c r="B645" s="6"/>
      <c r="D645" s="4"/>
      <c r="E645" s="4"/>
      <c r="L645" s="13"/>
      <c r="N645" s="6"/>
    </row>
    <row r="646" spans="2:14" ht="15.75" customHeight="1" x14ac:dyDescent="0.25">
      <c r="B646" s="6"/>
      <c r="D646" s="4"/>
      <c r="E646" s="4"/>
      <c r="L646" s="13"/>
      <c r="N646" s="6"/>
    </row>
    <row r="647" spans="2:14" ht="15.75" customHeight="1" x14ac:dyDescent="0.25">
      <c r="B647" s="6"/>
      <c r="D647" s="4"/>
      <c r="E647" s="4"/>
      <c r="L647" s="13"/>
      <c r="N647" s="6"/>
    </row>
    <row r="648" spans="2:14" ht="15.75" customHeight="1" x14ac:dyDescent="0.25">
      <c r="B648" s="6"/>
      <c r="D648" s="4"/>
      <c r="E648" s="4"/>
      <c r="L648" s="13"/>
      <c r="N648" s="6"/>
    </row>
    <row r="649" spans="2:14" ht="15.75" customHeight="1" x14ac:dyDescent="0.25">
      <c r="B649" s="6"/>
      <c r="D649" s="4"/>
      <c r="E649" s="4"/>
      <c r="L649" s="13"/>
      <c r="N649" s="6"/>
    </row>
    <row r="650" spans="2:14" ht="15.75" customHeight="1" x14ac:dyDescent="0.25">
      <c r="B650" s="6"/>
      <c r="D650" s="4"/>
      <c r="E650" s="4"/>
      <c r="L650" s="13"/>
      <c r="N650" s="6"/>
    </row>
    <row r="651" spans="2:14" ht="15.75" customHeight="1" x14ac:dyDescent="0.25">
      <c r="B651" s="6"/>
      <c r="D651" s="4"/>
      <c r="E651" s="4"/>
      <c r="L651" s="13"/>
      <c r="N651" s="6"/>
    </row>
    <row r="652" spans="2:14" ht="15.75" customHeight="1" x14ac:dyDescent="0.25">
      <c r="B652" s="6"/>
      <c r="D652" s="4"/>
      <c r="E652" s="4"/>
      <c r="L652" s="13"/>
      <c r="N652" s="6"/>
    </row>
    <row r="653" spans="2:14" ht="15.75" customHeight="1" x14ac:dyDescent="0.25">
      <c r="B653" s="6"/>
      <c r="D653" s="4"/>
      <c r="E653" s="4"/>
      <c r="L653" s="13"/>
      <c r="N653" s="6"/>
    </row>
    <row r="654" spans="2:14" ht="15.75" customHeight="1" x14ac:dyDescent="0.25">
      <c r="B654" s="6"/>
      <c r="D654" s="4"/>
      <c r="E654" s="4"/>
      <c r="L654" s="13"/>
      <c r="N654" s="6"/>
    </row>
    <row r="655" spans="2:14" ht="15.75" customHeight="1" x14ac:dyDescent="0.25">
      <c r="B655" s="6"/>
      <c r="D655" s="4"/>
      <c r="E655" s="4"/>
      <c r="L655" s="13"/>
      <c r="N655" s="6"/>
    </row>
    <row r="656" spans="2:14" ht="15.75" customHeight="1" x14ac:dyDescent="0.25">
      <c r="B656" s="6"/>
      <c r="D656" s="4"/>
      <c r="E656" s="4"/>
      <c r="L656" s="13"/>
      <c r="N656" s="6"/>
    </row>
    <row r="657" spans="2:14" ht="15.75" customHeight="1" x14ac:dyDescent="0.25">
      <c r="B657" s="6"/>
      <c r="D657" s="4"/>
      <c r="E657" s="4"/>
      <c r="L657" s="13"/>
      <c r="N657" s="6"/>
    </row>
    <row r="658" spans="2:14" ht="15.75" customHeight="1" x14ac:dyDescent="0.25">
      <c r="B658" s="6"/>
      <c r="D658" s="4"/>
      <c r="E658" s="4"/>
      <c r="L658" s="13"/>
      <c r="N658" s="6"/>
    </row>
    <row r="659" spans="2:14" ht="15.75" customHeight="1" x14ac:dyDescent="0.25">
      <c r="B659" s="6"/>
      <c r="D659" s="4"/>
      <c r="E659" s="4"/>
      <c r="L659" s="13"/>
      <c r="N659" s="6"/>
    </row>
    <row r="660" spans="2:14" ht="15.75" customHeight="1" x14ac:dyDescent="0.25">
      <c r="B660" s="6"/>
      <c r="D660" s="4"/>
      <c r="E660" s="4"/>
      <c r="L660" s="13"/>
      <c r="N660" s="6"/>
    </row>
    <row r="661" spans="2:14" ht="15.75" customHeight="1" x14ac:dyDescent="0.25">
      <c r="B661" s="6"/>
      <c r="D661" s="4"/>
      <c r="E661" s="4"/>
      <c r="L661" s="13"/>
      <c r="N661" s="6"/>
    </row>
    <row r="662" spans="2:14" ht="15.75" customHeight="1" x14ac:dyDescent="0.25">
      <c r="B662" s="6"/>
      <c r="D662" s="4"/>
      <c r="E662" s="4"/>
      <c r="L662" s="13"/>
      <c r="N662" s="6"/>
    </row>
    <row r="663" spans="2:14" ht="15.75" customHeight="1" x14ac:dyDescent="0.25">
      <c r="B663" s="6"/>
      <c r="D663" s="4"/>
      <c r="E663" s="4"/>
      <c r="L663" s="13"/>
      <c r="N663" s="6"/>
    </row>
    <row r="664" spans="2:14" ht="15.75" customHeight="1" x14ac:dyDescent="0.25">
      <c r="B664" s="6"/>
      <c r="D664" s="4"/>
      <c r="E664" s="4"/>
      <c r="L664" s="13"/>
      <c r="N664" s="6"/>
    </row>
    <row r="665" spans="2:14" ht="15.75" customHeight="1" x14ac:dyDescent="0.25">
      <c r="B665" s="6"/>
      <c r="D665" s="4"/>
      <c r="E665" s="4"/>
      <c r="L665" s="13"/>
      <c r="N665" s="6"/>
    </row>
    <row r="666" spans="2:14" ht="15.75" customHeight="1" x14ac:dyDescent="0.25">
      <c r="B666" s="6"/>
      <c r="D666" s="4"/>
      <c r="E666" s="4"/>
      <c r="L666" s="13"/>
      <c r="N666" s="6"/>
    </row>
    <row r="667" spans="2:14" ht="15.75" customHeight="1" x14ac:dyDescent="0.25">
      <c r="B667" s="6"/>
      <c r="D667" s="4"/>
      <c r="E667" s="4"/>
      <c r="L667" s="13"/>
      <c r="N667" s="6"/>
    </row>
    <row r="668" spans="2:14" ht="15.75" customHeight="1" x14ac:dyDescent="0.25">
      <c r="B668" s="6"/>
      <c r="D668" s="4"/>
      <c r="E668" s="4"/>
      <c r="L668" s="13"/>
      <c r="N668" s="6"/>
    </row>
    <row r="669" spans="2:14" ht="15.75" customHeight="1" x14ac:dyDescent="0.25">
      <c r="B669" s="6"/>
      <c r="D669" s="4"/>
      <c r="E669" s="4"/>
      <c r="L669" s="13"/>
      <c r="N669" s="6"/>
    </row>
    <row r="670" spans="2:14" ht="15.75" customHeight="1" x14ac:dyDescent="0.25">
      <c r="B670" s="6"/>
      <c r="D670" s="4"/>
      <c r="E670" s="4"/>
      <c r="L670" s="13"/>
      <c r="N670" s="6"/>
    </row>
    <row r="671" spans="2:14" ht="15.75" customHeight="1" x14ac:dyDescent="0.25">
      <c r="B671" s="6"/>
      <c r="D671" s="4"/>
      <c r="E671" s="4"/>
      <c r="L671" s="13"/>
      <c r="N671" s="6"/>
    </row>
    <row r="672" spans="2:14" ht="15.75" customHeight="1" x14ac:dyDescent="0.25">
      <c r="B672" s="6"/>
      <c r="D672" s="4"/>
      <c r="E672" s="4"/>
      <c r="L672" s="13"/>
      <c r="N672" s="6"/>
    </row>
    <row r="673" spans="2:14" ht="15.75" customHeight="1" x14ac:dyDescent="0.25">
      <c r="B673" s="6"/>
      <c r="D673" s="4"/>
      <c r="E673" s="4"/>
      <c r="L673" s="13"/>
      <c r="N673" s="6"/>
    </row>
    <row r="674" spans="2:14" ht="15.75" customHeight="1" x14ac:dyDescent="0.25">
      <c r="B674" s="6"/>
      <c r="D674" s="4"/>
      <c r="E674" s="4"/>
      <c r="L674" s="13"/>
      <c r="N674" s="6"/>
    </row>
    <row r="675" spans="2:14" ht="15.75" customHeight="1" x14ac:dyDescent="0.25">
      <c r="B675" s="6"/>
      <c r="D675" s="4"/>
      <c r="E675" s="4"/>
      <c r="L675" s="13"/>
      <c r="N675" s="6"/>
    </row>
    <row r="676" spans="2:14" ht="15.75" customHeight="1" x14ac:dyDescent="0.25">
      <c r="B676" s="6"/>
      <c r="D676" s="4"/>
      <c r="E676" s="4"/>
      <c r="L676" s="13"/>
      <c r="N676" s="6"/>
    </row>
    <row r="677" spans="2:14" ht="15.75" customHeight="1" x14ac:dyDescent="0.25">
      <c r="B677" s="6"/>
      <c r="D677" s="4"/>
      <c r="E677" s="4"/>
      <c r="L677" s="13"/>
      <c r="N677" s="6"/>
    </row>
    <row r="678" spans="2:14" ht="15.75" customHeight="1" x14ac:dyDescent="0.25">
      <c r="B678" s="6"/>
      <c r="D678" s="4"/>
      <c r="E678" s="4"/>
      <c r="L678" s="13"/>
      <c r="N678" s="6"/>
    </row>
    <row r="679" spans="2:14" ht="15.75" customHeight="1" x14ac:dyDescent="0.25">
      <c r="B679" s="6"/>
      <c r="D679" s="4"/>
      <c r="E679" s="4"/>
      <c r="L679" s="13"/>
      <c r="N679" s="6"/>
    </row>
    <row r="680" spans="2:14" ht="15.75" customHeight="1" x14ac:dyDescent="0.25">
      <c r="B680" s="6"/>
      <c r="D680" s="4"/>
      <c r="E680" s="4"/>
      <c r="L680" s="13"/>
      <c r="N680" s="6"/>
    </row>
    <row r="681" spans="2:14" ht="15.75" customHeight="1" x14ac:dyDescent="0.25">
      <c r="B681" s="6"/>
      <c r="D681" s="4"/>
      <c r="E681" s="4"/>
      <c r="L681" s="13"/>
      <c r="N681" s="6"/>
    </row>
    <row r="682" spans="2:14" ht="15.75" customHeight="1" x14ac:dyDescent="0.25">
      <c r="B682" s="6"/>
      <c r="D682" s="4"/>
      <c r="E682" s="4"/>
      <c r="L682" s="13"/>
      <c r="N682" s="6"/>
    </row>
    <row r="683" spans="2:14" ht="15.75" customHeight="1" x14ac:dyDescent="0.25">
      <c r="B683" s="6"/>
      <c r="D683" s="4"/>
      <c r="E683" s="4"/>
      <c r="L683" s="13"/>
      <c r="N683" s="6"/>
    </row>
    <row r="684" spans="2:14" ht="15.75" customHeight="1" x14ac:dyDescent="0.25">
      <c r="B684" s="6"/>
      <c r="D684" s="4"/>
      <c r="E684" s="4"/>
      <c r="L684" s="13"/>
      <c r="N684" s="6"/>
    </row>
    <row r="685" spans="2:14" ht="15.75" customHeight="1" x14ac:dyDescent="0.25">
      <c r="B685" s="6"/>
      <c r="D685" s="4"/>
      <c r="E685" s="4"/>
      <c r="L685" s="13"/>
      <c r="N685" s="6"/>
    </row>
    <row r="686" spans="2:14" ht="15.75" customHeight="1" x14ac:dyDescent="0.25">
      <c r="B686" s="6"/>
      <c r="D686" s="4"/>
      <c r="E686" s="4"/>
      <c r="L686" s="13"/>
      <c r="N686" s="6"/>
    </row>
    <row r="687" spans="2:14" ht="15.75" customHeight="1" x14ac:dyDescent="0.25">
      <c r="B687" s="6"/>
      <c r="D687" s="4"/>
      <c r="E687" s="4"/>
      <c r="L687" s="13"/>
      <c r="N687" s="6"/>
    </row>
    <row r="688" spans="2:14" ht="15.75" customHeight="1" x14ac:dyDescent="0.25">
      <c r="B688" s="6"/>
      <c r="D688" s="4"/>
      <c r="E688" s="4"/>
      <c r="L688" s="13"/>
      <c r="N688" s="6"/>
    </row>
    <row r="689" spans="2:14" ht="15.75" customHeight="1" x14ac:dyDescent="0.25">
      <c r="B689" s="6"/>
      <c r="D689" s="4"/>
      <c r="E689" s="4"/>
      <c r="L689" s="13"/>
      <c r="N689" s="6"/>
    </row>
    <row r="690" spans="2:14" ht="15.75" customHeight="1" x14ac:dyDescent="0.25">
      <c r="B690" s="6"/>
      <c r="D690" s="4"/>
      <c r="E690" s="4"/>
      <c r="L690" s="13"/>
      <c r="N690" s="6"/>
    </row>
    <row r="691" spans="2:14" ht="15.75" customHeight="1" x14ac:dyDescent="0.25">
      <c r="B691" s="6"/>
      <c r="D691" s="4"/>
      <c r="E691" s="4"/>
      <c r="L691" s="13"/>
      <c r="N691" s="6"/>
    </row>
    <row r="692" spans="2:14" ht="15.75" customHeight="1" x14ac:dyDescent="0.25">
      <c r="B692" s="6"/>
      <c r="D692" s="4"/>
      <c r="E692" s="4"/>
      <c r="L692" s="13"/>
      <c r="N692" s="6"/>
    </row>
    <row r="693" spans="2:14" ht="15.75" customHeight="1" x14ac:dyDescent="0.25">
      <c r="B693" s="6"/>
      <c r="D693" s="4"/>
      <c r="E693" s="4"/>
      <c r="L693" s="13"/>
      <c r="N693" s="6"/>
    </row>
    <row r="694" spans="2:14" ht="15.75" customHeight="1" x14ac:dyDescent="0.25">
      <c r="B694" s="6"/>
      <c r="D694" s="4"/>
      <c r="E694" s="4"/>
      <c r="L694" s="13"/>
      <c r="N694" s="6"/>
    </row>
    <row r="695" spans="2:14" ht="15.75" customHeight="1" x14ac:dyDescent="0.25">
      <c r="B695" s="6"/>
      <c r="D695" s="4"/>
      <c r="E695" s="4"/>
      <c r="L695" s="13"/>
      <c r="N695" s="6"/>
    </row>
    <row r="696" spans="2:14" ht="15.75" customHeight="1" x14ac:dyDescent="0.25">
      <c r="B696" s="6"/>
      <c r="D696" s="4"/>
      <c r="E696" s="4"/>
      <c r="L696" s="13"/>
      <c r="N696" s="6"/>
    </row>
    <row r="697" spans="2:14" ht="15.75" customHeight="1" x14ac:dyDescent="0.25">
      <c r="B697" s="6"/>
      <c r="D697" s="4"/>
      <c r="E697" s="4"/>
      <c r="L697" s="13"/>
      <c r="N697" s="6"/>
    </row>
    <row r="698" spans="2:14" ht="15.75" customHeight="1" x14ac:dyDescent="0.25">
      <c r="B698" s="6"/>
      <c r="D698" s="4"/>
      <c r="E698" s="4"/>
      <c r="L698" s="13"/>
      <c r="N698" s="6"/>
    </row>
    <row r="699" spans="2:14" ht="15.75" customHeight="1" x14ac:dyDescent="0.25">
      <c r="B699" s="6"/>
      <c r="D699" s="4"/>
      <c r="E699" s="4"/>
      <c r="L699" s="13"/>
      <c r="N699" s="6"/>
    </row>
    <row r="700" spans="2:14" ht="15.75" customHeight="1" x14ac:dyDescent="0.25">
      <c r="B700" s="6"/>
      <c r="D700" s="4"/>
      <c r="E700" s="4"/>
      <c r="L700" s="13"/>
      <c r="N700" s="6"/>
    </row>
    <row r="701" spans="2:14" ht="15.75" customHeight="1" x14ac:dyDescent="0.25">
      <c r="B701" s="6"/>
      <c r="D701" s="4"/>
      <c r="E701" s="4"/>
      <c r="L701" s="13"/>
      <c r="N701" s="6"/>
    </row>
    <row r="702" spans="2:14" ht="15.75" customHeight="1" x14ac:dyDescent="0.25">
      <c r="B702" s="6"/>
      <c r="D702" s="4"/>
      <c r="E702" s="4"/>
      <c r="L702" s="13"/>
      <c r="N702" s="6"/>
    </row>
    <row r="703" spans="2:14" ht="15.75" customHeight="1" x14ac:dyDescent="0.25">
      <c r="B703" s="6"/>
      <c r="D703" s="4"/>
      <c r="E703" s="4"/>
      <c r="L703" s="13"/>
      <c r="N703" s="6"/>
    </row>
    <row r="704" spans="2:14" ht="15.75" customHeight="1" x14ac:dyDescent="0.25">
      <c r="B704" s="6"/>
      <c r="D704" s="4"/>
      <c r="E704" s="4"/>
      <c r="L704" s="13"/>
      <c r="N704" s="6"/>
    </row>
    <row r="705" spans="2:14" ht="15.75" customHeight="1" x14ac:dyDescent="0.25">
      <c r="B705" s="6"/>
      <c r="D705" s="4"/>
      <c r="E705" s="4"/>
      <c r="L705" s="13"/>
      <c r="N705" s="6"/>
    </row>
    <row r="706" spans="2:14" ht="15.75" customHeight="1" x14ac:dyDescent="0.25">
      <c r="B706" s="6"/>
      <c r="D706" s="4"/>
      <c r="E706" s="4"/>
      <c r="L706" s="13"/>
      <c r="N706" s="6"/>
    </row>
    <row r="707" spans="2:14" ht="15.75" customHeight="1" x14ac:dyDescent="0.25">
      <c r="B707" s="6"/>
      <c r="D707" s="4"/>
      <c r="E707" s="4"/>
      <c r="L707" s="13"/>
      <c r="N707" s="6"/>
    </row>
    <row r="708" spans="2:14" ht="15.75" customHeight="1" x14ac:dyDescent="0.25">
      <c r="B708" s="6"/>
      <c r="D708" s="4"/>
      <c r="E708" s="4"/>
      <c r="L708" s="13"/>
      <c r="N708" s="6"/>
    </row>
    <row r="709" spans="2:14" ht="15.75" customHeight="1" x14ac:dyDescent="0.25">
      <c r="B709" s="6"/>
      <c r="D709" s="4"/>
      <c r="E709" s="4"/>
      <c r="L709" s="13"/>
      <c r="N709" s="6"/>
    </row>
    <row r="710" spans="2:14" ht="15.75" customHeight="1" x14ac:dyDescent="0.25">
      <c r="B710" s="6"/>
      <c r="D710" s="4"/>
      <c r="E710" s="4"/>
      <c r="L710" s="13"/>
      <c r="N710" s="6"/>
    </row>
    <row r="711" spans="2:14" ht="15.75" customHeight="1" x14ac:dyDescent="0.25">
      <c r="B711" s="6"/>
      <c r="D711" s="4"/>
      <c r="E711" s="4"/>
      <c r="L711" s="13"/>
      <c r="N711" s="6"/>
    </row>
    <row r="712" spans="2:14" ht="15.75" customHeight="1" x14ac:dyDescent="0.25">
      <c r="B712" s="6"/>
      <c r="D712" s="4"/>
      <c r="E712" s="4"/>
      <c r="L712" s="13"/>
      <c r="N712" s="6"/>
    </row>
    <row r="713" spans="2:14" ht="15.75" customHeight="1" x14ac:dyDescent="0.25">
      <c r="B713" s="6"/>
      <c r="D713" s="4"/>
      <c r="E713" s="4"/>
      <c r="L713" s="13"/>
      <c r="N713" s="6"/>
    </row>
    <row r="714" spans="2:14" ht="15.75" customHeight="1" x14ac:dyDescent="0.25">
      <c r="B714" s="6"/>
      <c r="D714" s="4"/>
      <c r="E714" s="4"/>
      <c r="L714" s="13"/>
      <c r="N714" s="6"/>
    </row>
    <row r="715" spans="2:14" ht="15.75" customHeight="1" x14ac:dyDescent="0.25">
      <c r="B715" s="6"/>
      <c r="D715" s="4"/>
      <c r="E715" s="4"/>
      <c r="L715" s="13"/>
      <c r="N715" s="6"/>
    </row>
    <row r="716" spans="2:14" ht="15.75" customHeight="1" x14ac:dyDescent="0.25">
      <c r="B716" s="6"/>
      <c r="D716" s="4"/>
      <c r="E716" s="4"/>
      <c r="L716" s="13"/>
      <c r="N716" s="6"/>
    </row>
    <row r="717" spans="2:14" ht="15.75" customHeight="1" x14ac:dyDescent="0.25">
      <c r="B717" s="6"/>
      <c r="D717" s="4"/>
      <c r="E717" s="4"/>
      <c r="L717" s="13"/>
      <c r="N717" s="6"/>
    </row>
    <row r="718" spans="2:14" ht="15.75" customHeight="1" x14ac:dyDescent="0.25">
      <c r="B718" s="6"/>
      <c r="D718" s="4"/>
      <c r="E718" s="4"/>
      <c r="L718" s="13"/>
      <c r="N718" s="6"/>
    </row>
    <row r="719" spans="2:14" ht="15.75" customHeight="1" x14ac:dyDescent="0.25">
      <c r="B719" s="6"/>
      <c r="D719" s="4"/>
      <c r="E719" s="4"/>
      <c r="L719" s="13"/>
      <c r="N719" s="6"/>
    </row>
    <row r="720" spans="2:14" ht="15.75" customHeight="1" x14ac:dyDescent="0.25">
      <c r="B720" s="6"/>
      <c r="D720" s="4"/>
      <c r="E720" s="4"/>
      <c r="L720" s="13"/>
      <c r="N720" s="6"/>
    </row>
    <row r="721" spans="2:14" ht="15.75" customHeight="1" x14ac:dyDescent="0.25">
      <c r="B721" s="6"/>
      <c r="D721" s="4"/>
      <c r="E721" s="4"/>
      <c r="L721" s="13"/>
      <c r="N721" s="6"/>
    </row>
    <row r="722" spans="2:14" ht="15.75" customHeight="1" x14ac:dyDescent="0.25">
      <c r="B722" s="6"/>
      <c r="D722" s="4"/>
      <c r="E722" s="4"/>
      <c r="L722" s="13"/>
      <c r="N722" s="6"/>
    </row>
    <row r="723" spans="2:14" ht="15.75" customHeight="1" x14ac:dyDescent="0.25">
      <c r="B723" s="6"/>
      <c r="D723" s="4"/>
      <c r="E723" s="4"/>
      <c r="L723" s="13"/>
      <c r="N723" s="6"/>
    </row>
    <row r="724" spans="2:14" ht="15.75" customHeight="1" x14ac:dyDescent="0.25">
      <c r="B724" s="6"/>
      <c r="D724" s="4"/>
      <c r="E724" s="4"/>
      <c r="L724" s="13"/>
      <c r="N724" s="6"/>
    </row>
    <row r="725" spans="2:14" ht="15.75" customHeight="1" x14ac:dyDescent="0.25">
      <c r="B725" s="6"/>
      <c r="D725" s="4"/>
      <c r="E725" s="4"/>
      <c r="L725" s="13"/>
      <c r="N725" s="6"/>
    </row>
    <row r="726" spans="2:14" ht="15.75" customHeight="1" x14ac:dyDescent="0.25">
      <c r="B726" s="6"/>
      <c r="D726" s="4"/>
      <c r="E726" s="4"/>
      <c r="L726" s="13"/>
      <c r="N726" s="6"/>
    </row>
    <row r="727" spans="2:14" ht="15.75" customHeight="1" x14ac:dyDescent="0.25">
      <c r="B727" s="6"/>
      <c r="D727" s="4"/>
      <c r="E727" s="4"/>
      <c r="L727" s="13"/>
      <c r="N727" s="6"/>
    </row>
    <row r="728" spans="2:14" ht="15.75" customHeight="1" x14ac:dyDescent="0.25">
      <c r="B728" s="6"/>
      <c r="D728" s="4"/>
      <c r="E728" s="4"/>
      <c r="L728" s="13"/>
      <c r="N728" s="6"/>
    </row>
    <row r="729" spans="2:14" ht="15.75" customHeight="1" x14ac:dyDescent="0.25">
      <c r="B729" s="6"/>
      <c r="D729" s="4"/>
      <c r="E729" s="4"/>
      <c r="L729" s="13"/>
      <c r="N729" s="6"/>
    </row>
    <row r="730" spans="2:14" ht="15.75" customHeight="1" x14ac:dyDescent="0.25">
      <c r="B730" s="6"/>
      <c r="D730" s="4"/>
      <c r="E730" s="4"/>
      <c r="L730" s="13"/>
      <c r="N730" s="6"/>
    </row>
    <row r="731" spans="2:14" ht="15.75" customHeight="1" x14ac:dyDescent="0.25">
      <c r="B731" s="6"/>
      <c r="D731" s="4"/>
      <c r="E731" s="4"/>
      <c r="L731" s="13"/>
      <c r="N731" s="6"/>
    </row>
    <row r="732" spans="2:14" ht="15.75" customHeight="1" x14ac:dyDescent="0.25">
      <c r="B732" s="6"/>
      <c r="D732" s="4"/>
      <c r="E732" s="4"/>
      <c r="L732" s="13"/>
      <c r="N732" s="6"/>
    </row>
    <row r="733" spans="2:14" ht="15.75" customHeight="1" x14ac:dyDescent="0.25">
      <c r="B733" s="6"/>
      <c r="D733" s="4"/>
      <c r="E733" s="4"/>
      <c r="L733" s="13"/>
      <c r="N733" s="6"/>
    </row>
    <row r="734" spans="2:14" ht="15.75" customHeight="1" x14ac:dyDescent="0.25">
      <c r="B734" s="6"/>
      <c r="D734" s="4"/>
      <c r="E734" s="4"/>
      <c r="L734" s="13"/>
      <c r="N734" s="6"/>
    </row>
    <row r="735" spans="2:14" ht="15.75" customHeight="1" x14ac:dyDescent="0.25">
      <c r="B735" s="6"/>
      <c r="D735" s="4"/>
      <c r="E735" s="4"/>
      <c r="L735" s="13"/>
      <c r="N735" s="6"/>
    </row>
    <row r="736" spans="2:14" ht="15.75" customHeight="1" x14ac:dyDescent="0.25">
      <c r="B736" s="6"/>
      <c r="D736" s="4"/>
      <c r="E736" s="4"/>
      <c r="L736" s="13"/>
      <c r="N736" s="6"/>
    </row>
    <row r="737" spans="2:14" ht="15.75" customHeight="1" x14ac:dyDescent="0.25">
      <c r="B737" s="6"/>
      <c r="D737" s="4"/>
      <c r="E737" s="4"/>
      <c r="L737" s="13"/>
      <c r="N737" s="6"/>
    </row>
    <row r="738" spans="2:14" ht="15.75" customHeight="1" x14ac:dyDescent="0.25">
      <c r="B738" s="6"/>
      <c r="D738" s="4"/>
      <c r="E738" s="4"/>
      <c r="L738" s="13"/>
      <c r="N738" s="6"/>
    </row>
    <row r="739" spans="2:14" ht="15.75" customHeight="1" x14ac:dyDescent="0.25">
      <c r="B739" s="6"/>
      <c r="D739" s="4"/>
      <c r="E739" s="4"/>
      <c r="L739" s="13"/>
      <c r="N739" s="6"/>
    </row>
    <row r="740" spans="2:14" ht="15.75" customHeight="1" x14ac:dyDescent="0.25">
      <c r="B740" s="6"/>
      <c r="D740" s="4"/>
      <c r="E740" s="4"/>
      <c r="L740" s="13"/>
      <c r="N740" s="6"/>
    </row>
    <row r="741" spans="2:14" ht="15.75" customHeight="1" x14ac:dyDescent="0.25">
      <c r="B741" s="6"/>
      <c r="D741" s="4"/>
      <c r="E741" s="4"/>
      <c r="L741" s="13"/>
      <c r="N741" s="6"/>
    </row>
    <row r="742" spans="2:14" ht="15.75" customHeight="1" x14ac:dyDescent="0.25">
      <c r="B742" s="6"/>
      <c r="D742" s="4"/>
      <c r="E742" s="4"/>
      <c r="L742" s="13"/>
      <c r="N742" s="6"/>
    </row>
    <row r="743" spans="2:14" ht="15.75" customHeight="1" x14ac:dyDescent="0.25">
      <c r="B743" s="6"/>
      <c r="D743" s="4"/>
      <c r="E743" s="4"/>
      <c r="L743" s="13"/>
      <c r="N743" s="6"/>
    </row>
    <row r="744" spans="2:14" ht="15.75" customHeight="1" x14ac:dyDescent="0.25">
      <c r="B744" s="6"/>
      <c r="D744" s="4"/>
      <c r="E744" s="4"/>
      <c r="L744" s="13"/>
      <c r="N744" s="6"/>
    </row>
    <row r="745" spans="2:14" ht="15.75" customHeight="1" x14ac:dyDescent="0.25">
      <c r="B745" s="6"/>
      <c r="D745" s="4"/>
      <c r="E745" s="4"/>
      <c r="L745" s="13"/>
      <c r="N745" s="6"/>
    </row>
    <row r="746" spans="2:14" ht="15.75" customHeight="1" x14ac:dyDescent="0.25">
      <c r="B746" s="6"/>
      <c r="D746" s="4"/>
      <c r="E746" s="4"/>
      <c r="L746" s="13"/>
      <c r="N746" s="6"/>
    </row>
    <row r="747" spans="2:14" ht="15.75" customHeight="1" x14ac:dyDescent="0.25">
      <c r="B747" s="6"/>
      <c r="D747" s="4"/>
      <c r="E747" s="4"/>
      <c r="L747" s="13"/>
      <c r="N747" s="6"/>
    </row>
    <row r="748" spans="2:14" ht="15.75" customHeight="1" x14ac:dyDescent="0.25">
      <c r="B748" s="6"/>
      <c r="D748" s="4"/>
      <c r="E748" s="4"/>
      <c r="L748" s="13"/>
      <c r="N748" s="6"/>
    </row>
    <row r="749" spans="2:14" ht="15.75" customHeight="1" x14ac:dyDescent="0.25">
      <c r="B749" s="6"/>
      <c r="D749" s="4"/>
      <c r="E749" s="4"/>
      <c r="L749" s="13"/>
      <c r="N749" s="6"/>
    </row>
    <row r="750" spans="2:14" ht="15.75" customHeight="1" x14ac:dyDescent="0.25">
      <c r="B750" s="6"/>
      <c r="D750" s="4"/>
      <c r="E750" s="4"/>
      <c r="L750" s="13"/>
      <c r="N750" s="6"/>
    </row>
    <row r="751" spans="2:14" ht="15.75" customHeight="1" x14ac:dyDescent="0.25">
      <c r="B751" s="6"/>
      <c r="D751" s="4"/>
      <c r="E751" s="4"/>
      <c r="L751" s="13"/>
      <c r="N751" s="6"/>
    </row>
    <row r="752" spans="2:14" ht="15.75" customHeight="1" x14ac:dyDescent="0.25">
      <c r="B752" s="6"/>
      <c r="D752" s="4"/>
      <c r="E752" s="4"/>
      <c r="L752" s="13"/>
      <c r="N752" s="6"/>
    </row>
    <row r="753" spans="2:14" ht="15.75" customHeight="1" x14ac:dyDescent="0.25">
      <c r="B753" s="6"/>
      <c r="D753" s="4"/>
      <c r="E753" s="4"/>
      <c r="L753" s="13"/>
      <c r="N753" s="6"/>
    </row>
    <row r="754" spans="2:14" ht="15.75" customHeight="1" x14ac:dyDescent="0.25">
      <c r="B754" s="6"/>
      <c r="D754" s="4"/>
      <c r="E754" s="4"/>
      <c r="L754" s="13"/>
      <c r="N754" s="6"/>
    </row>
    <row r="755" spans="2:14" ht="15.75" customHeight="1" x14ac:dyDescent="0.25">
      <c r="B755" s="6"/>
      <c r="D755" s="4"/>
      <c r="E755" s="4"/>
      <c r="L755" s="13"/>
      <c r="N755" s="6"/>
    </row>
    <row r="756" spans="2:14" ht="15.75" customHeight="1" x14ac:dyDescent="0.25">
      <c r="B756" s="6"/>
      <c r="D756" s="4"/>
      <c r="E756" s="4"/>
      <c r="L756" s="13"/>
      <c r="N756" s="6"/>
    </row>
    <row r="757" spans="2:14" ht="15.75" customHeight="1" x14ac:dyDescent="0.25">
      <c r="B757" s="6"/>
      <c r="D757" s="4"/>
      <c r="E757" s="4"/>
      <c r="L757" s="13"/>
      <c r="N757" s="6"/>
    </row>
    <row r="758" spans="2:14" ht="15.75" customHeight="1" x14ac:dyDescent="0.25">
      <c r="B758" s="6"/>
      <c r="D758" s="4"/>
      <c r="E758" s="4"/>
      <c r="L758" s="13"/>
      <c r="N758" s="6"/>
    </row>
    <row r="759" spans="2:14" ht="15.75" customHeight="1" x14ac:dyDescent="0.25">
      <c r="B759" s="6"/>
      <c r="D759" s="4"/>
      <c r="E759" s="4"/>
      <c r="L759" s="13"/>
      <c r="N759" s="6"/>
    </row>
    <row r="760" spans="2:14" ht="15.75" customHeight="1" x14ac:dyDescent="0.25">
      <c r="B760" s="6"/>
      <c r="D760" s="4"/>
      <c r="E760" s="4"/>
      <c r="L760" s="13"/>
      <c r="N760" s="6"/>
    </row>
    <row r="761" spans="2:14" ht="15.75" customHeight="1" x14ac:dyDescent="0.25">
      <c r="B761" s="6"/>
      <c r="D761" s="4"/>
      <c r="E761" s="4"/>
      <c r="L761" s="13"/>
      <c r="N761" s="6"/>
    </row>
    <row r="762" spans="2:14" ht="15.75" customHeight="1" x14ac:dyDescent="0.25">
      <c r="B762" s="6"/>
      <c r="D762" s="4"/>
      <c r="E762" s="4"/>
      <c r="L762" s="13"/>
      <c r="N762" s="6"/>
    </row>
    <row r="763" spans="2:14" ht="15.75" customHeight="1" x14ac:dyDescent="0.25">
      <c r="B763" s="6"/>
      <c r="D763" s="4"/>
      <c r="E763" s="4"/>
      <c r="L763" s="13"/>
      <c r="N763" s="6"/>
    </row>
    <row r="764" spans="2:14" ht="15.75" customHeight="1" x14ac:dyDescent="0.25">
      <c r="B764" s="6"/>
      <c r="D764" s="4"/>
      <c r="E764" s="4"/>
      <c r="L764" s="13"/>
      <c r="N764" s="6"/>
    </row>
    <row r="765" spans="2:14" ht="15.75" customHeight="1" x14ac:dyDescent="0.25">
      <c r="B765" s="6"/>
      <c r="D765" s="4"/>
      <c r="E765" s="4"/>
      <c r="L765" s="13"/>
      <c r="N765" s="6"/>
    </row>
    <row r="766" spans="2:14" ht="15.75" customHeight="1" x14ac:dyDescent="0.25">
      <c r="B766" s="6"/>
      <c r="D766" s="4"/>
      <c r="E766" s="4"/>
      <c r="L766" s="13"/>
      <c r="N766" s="6"/>
    </row>
    <row r="767" spans="2:14" ht="15.75" customHeight="1" x14ac:dyDescent="0.25">
      <c r="B767" s="6"/>
      <c r="D767" s="4"/>
      <c r="E767" s="4"/>
      <c r="L767" s="13"/>
      <c r="N767" s="6"/>
    </row>
    <row r="768" spans="2:14" ht="15.75" customHeight="1" x14ac:dyDescent="0.25">
      <c r="B768" s="6"/>
      <c r="D768" s="4"/>
      <c r="E768" s="4"/>
      <c r="L768" s="13"/>
      <c r="N768" s="6"/>
    </row>
    <row r="769" spans="2:14" ht="15.75" customHeight="1" x14ac:dyDescent="0.25">
      <c r="B769" s="6"/>
      <c r="D769" s="4"/>
      <c r="E769" s="4"/>
      <c r="L769" s="13"/>
      <c r="N769" s="6"/>
    </row>
    <row r="770" spans="2:14" ht="15.75" customHeight="1" x14ac:dyDescent="0.25">
      <c r="B770" s="6"/>
      <c r="D770" s="4"/>
      <c r="E770" s="4"/>
      <c r="L770" s="13"/>
      <c r="N770" s="6"/>
    </row>
    <row r="771" spans="2:14" ht="15.75" customHeight="1" x14ac:dyDescent="0.25">
      <c r="B771" s="6"/>
      <c r="D771" s="4"/>
      <c r="E771" s="4"/>
      <c r="L771" s="13"/>
      <c r="N771" s="6"/>
    </row>
    <row r="772" spans="2:14" ht="15.75" customHeight="1" x14ac:dyDescent="0.25">
      <c r="B772" s="6"/>
      <c r="D772" s="4"/>
      <c r="E772" s="4"/>
      <c r="L772" s="13"/>
      <c r="N772" s="6"/>
    </row>
    <row r="773" spans="2:14" ht="15.75" customHeight="1" x14ac:dyDescent="0.25">
      <c r="B773" s="6"/>
      <c r="D773" s="4"/>
      <c r="E773" s="4"/>
      <c r="L773" s="13"/>
      <c r="N773" s="6"/>
    </row>
    <row r="774" spans="2:14" ht="15.75" customHeight="1" x14ac:dyDescent="0.25">
      <c r="B774" s="6"/>
      <c r="D774" s="4"/>
      <c r="E774" s="4"/>
      <c r="L774" s="13"/>
      <c r="N774" s="6"/>
    </row>
    <row r="775" spans="2:14" ht="15.75" customHeight="1" x14ac:dyDescent="0.25">
      <c r="B775" s="6"/>
      <c r="D775" s="4"/>
      <c r="E775" s="4"/>
      <c r="L775" s="13"/>
      <c r="N775" s="6"/>
    </row>
    <row r="776" spans="2:14" ht="15.75" customHeight="1" x14ac:dyDescent="0.25">
      <c r="B776" s="6"/>
      <c r="D776" s="4"/>
      <c r="E776" s="4"/>
      <c r="L776" s="13"/>
      <c r="N776" s="6"/>
    </row>
    <row r="777" spans="2:14" ht="15.75" customHeight="1" x14ac:dyDescent="0.25">
      <c r="B777" s="6"/>
      <c r="D777" s="4"/>
      <c r="E777" s="4"/>
      <c r="L777" s="13"/>
      <c r="N777" s="6"/>
    </row>
    <row r="778" spans="2:14" ht="15.75" customHeight="1" x14ac:dyDescent="0.25">
      <c r="B778" s="6"/>
      <c r="D778" s="4"/>
      <c r="E778" s="4"/>
      <c r="L778" s="13"/>
      <c r="N778" s="6"/>
    </row>
    <row r="779" spans="2:14" ht="15.75" customHeight="1" x14ac:dyDescent="0.25">
      <c r="B779" s="6"/>
      <c r="D779" s="4"/>
      <c r="E779" s="4"/>
      <c r="L779" s="13"/>
      <c r="N779" s="6"/>
    </row>
    <row r="780" spans="2:14" ht="15.75" customHeight="1" x14ac:dyDescent="0.25">
      <c r="B780" s="6"/>
      <c r="D780" s="4"/>
      <c r="E780" s="4"/>
      <c r="L780" s="13"/>
      <c r="N780" s="6"/>
    </row>
    <row r="781" spans="2:14" ht="15.75" customHeight="1" x14ac:dyDescent="0.25">
      <c r="B781" s="6"/>
      <c r="D781" s="4"/>
      <c r="E781" s="4"/>
      <c r="L781" s="13"/>
      <c r="N781" s="6"/>
    </row>
    <row r="782" spans="2:14" ht="15.75" customHeight="1" x14ac:dyDescent="0.25">
      <c r="B782" s="6"/>
      <c r="D782" s="4"/>
      <c r="E782" s="4"/>
      <c r="L782" s="13"/>
      <c r="N782" s="6"/>
    </row>
    <row r="783" spans="2:14" ht="15.75" customHeight="1" x14ac:dyDescent="0.25">
      <c r="B783" s="6"/>
      <c r="D783" s="4"/>
      <c r="E783" s="4"/>
      <c r="L783" s="13"/>
      <c r="N783" s="6"/>
    </row>
    <row r="784" spans="2:14" ht="15.75" customHeight="1" x14ac:dyDescent="0.25">
      <c r="B784" s="6"/>
      <c r="D784" s="4"/>
      <c r="E784" s="4"/>
      <c r="L784" s="13"/>
      <c r="N784" s="6"/>
    </row>
    <row r="785" spans="2:14" ht="15.75" customHeight="1" x14ac:dyDescent="0.25">
      <c r="B785" s="6"/>
      <c r="D785" s="4"/>
      <c r="E785" s="4"/>
      <c r="L785" s="13"/>
      <c r="N785" s="6"/>
    </row>
    <row r="786" spans="2:14" ht="15.75" customHeight="1" x14ac:dyDescent="0.25">
      <c r="B786" s="6"/>
      <c r="D786" s="4"/>
      <c r="E786" s="4"/>
      <c r="L786" s="13"/>
      <c r="N786" s="6"/>
    </row>
    <row r="787" spans="2:14" ht="15.75" customHeight="1" x14ac:dyDescent="0.25">
      <c r="B787" s="6"/>
      <c r="D787" s="4"/>
      <c r="E787" s="4"/>
      <c r="L787" s="13"/>
      <c r="N787" s="6"/>
    </row>
    <row r="788" spans="2:14" ht="15.75" customHeight="1" x14ac:dyDescent="0.25">
      <c r="B788" s="6"/>
      <c r="D788" s="4"/>
      <c r="E788" s="4"/>
      <c r="L788" s="13"/>
      <c r="N788" s="6"/>
    </row>
    <row r="789" spans="2:14" ht="15.75" customHeight="1" x14ac:dyDescent="0.25">
      <c r="B789" s="6"/>
      <c r="D789" s="4"/>
      <c r="E789" s="4"/>
      <c r="L789" s="13"/>
      <c r="N789" s="6"/>
    </row>
    <row r="790" spans="2:14" ht="15.75" customHeight="1" x14ac:dyDescent="0.25">
      <c r="B790" s="6"/>
      <c r="D790" s="4"/>
      <c r="E790" s="4"/>
      <c r="L790" s="13"/>
      <c r="N790" s="6"/>
    </row>
    <row r="791" spans="2:14" ht="15.75" customHeight="1" x14ac:dyDescent="0.25">
      <c r="B791" s="6"/>
      <c r="D791" s="4"/>
      <c r="E791" s="4"/>
      <c r="L791" s="13"/>
      <c r="N791" s="6"/>
    </row>
    <row r="792" spans="2:14" ht="15.75" customHeight="1" x14ac:dyDescent="0.25">
      <c r="B792" s="6"/>
      <c r="D792" s="4"/>
      <c r="E792" s="4"/>
      <c r="L792" s="13"/>
      <c r="N792" s="6"/>
    </row>
    <row r="793" spans="2:14" ht="15.75" customHeight="1" x14ac:dyDescent="0.25">
      <c r="B793" s="6"/>
      <c r="D793" s="4"/>
      <c r="E793" s="4"/>
      <c r="L793" s="13"/>
      <c r="N793" s="6"/>
    </row>
    <row r="794" spans="2:14" ht="15.75" customHeight="1" x14ac:dyDescent="0.25">
      <c r="B794" s="6"/>
      <c r="D794" s="4"/>
      <c r="E794" s="4"/>
      <c r="L794" s="13"/>
      <c r="N794" s="6"/>
    </row>
    <row r="795" spans="2:14" ht="15.75" customHeight="1" x14ac:dyDescent="0.25">
      <c r="B795" s="6"/>
      <c r="D795" s="4"/>
      <c r="E795" s="4"/>
      <c r="L795" s="13"/>
      <c r="N795" s="6"/>
    </row>
    <row r="796" spans="2:14" ht="15.75" customHeight="1" x14ac:dyDescent="0.25">
      <c r="B796" s="6"/>
      <c r="D796" s="4"/>
      <c r="E796" s="4"/>
      <c r="L796" s="13"/>
      <c r="N796" s="6"/>
    </row>
    <row r="797" spans="2:14" ht="15.75" customHeight="1" x14ac:dyDescent="0.25">
      <c r="B797" s="6"/>
      <c r="D797" s="4"/>
      <c r="E797" s="4"/>
      <c r="L797" s="13"/>
      <c r="N797" s="6"/>
    </row>
    <row r="798" spans="2:14" ht="15.75" customHeight="1" x14ac:dyDescent="0.25">
      <c r="B798" s="6"/>
      <c r="D798" s="4"/>
      <c r="E798" s="4"/>
      <c r="L798" s="13"/>
      <c r="N798" s="6"/>
    </row>
    <row r="799" spans="2:14" ht="15.75" customHeight="1" x14ac:dyDescent="0.25">
      <c r="B799" s="6"/>
      <c r="D799" s="4"/>
      <c r="E799" s="4"/>
      <c r="L799" s="13"/>
      <c r="N799" s="6"/>
    </row>
    <row r="800" spans="2:14" ht="15.75" customHeight="1" x14ac:dyDescent="0.25">
      <c r="B800" s="6"/>
      <c r="D800" s="4"/>
      <c r="E800" s="4"/>
      <c r="L800" s="13"/>
      <c r="N800" s="6"/>
    </row>
    <row r="801" spans="2:14" ht="15.75" customHeight="1" x14ac:dyDescent="0.25">
      <c r="B801" s="6"/>
      <c r="D801" s="4"/>
      <c r="E801" s="4"/>
      <c r="L801" s="13"/>
      <c r="N801" s="6"/>
    </row>
    <row r="802" spans="2:14" ht="15.75" customHeight="1" x14ac:dyDescent="0.25">
      <c r="B802" s="6"/>
      <c r="D802" s="4"/>
      <c r="E802" s="4"/>
      <c r="L802" s="13"/>
      <c r="N802" s="6"/>
    </row>
    <row r="803" spans="2:14" ht="15.75" customHeight="1" x14ac:dyDescent="0.25">
      <c r="B803" s="6"/>
      <c r="D803" s="4"/>
      <c r="E803" s="4"/>
      <c r="L803" s="13"/>
      <c r="N803" s="6"/>
    </row>
    <row r="804" spans="2:14" ht="15.75" customHeight="1" x14ac:dyDescent="0.25">
      <c r="B804" s="6"/>
      <c r="D804" s="4"/>
      <c r="E804" s="4"/>
      <c r="L804" s="13"/>
      <c r="N804" s="6"/>
    </row>
    <row r="805" spans="2:14" ht="15.75" customHeight="1" x14ac:dyDescent="0.25">
      <c r="B805" s="6"/>
      <c r="D805" s="4"/>
      <c r="E805" s="4"/>
      <c r="L805" s="13"/>
      <c r="N805" s="6"/>
    </row>
    <row r="806" spans="2:14" ht="15.75" customHeight="1" x14ac:dyDescent="0.25">
      <c r="B806" s="6"/>
      <c r="D806" s="4"/>
      <c r="E806" s="4"/>
      <c r="L806" s="13"/>
      <c r="N806" s="6"/>
    </row>
    <row r="807" spans="2:14" ht="15.75" customHeight="1" x14ac:dyDescent="0.25">
      <c r="B807" s="6"/>
      <c r="D807" s="4"/>
      <c r="E807" s="4"/>
      <c r="L807" s="13"/>
      <c r="N807" s="6"/>
    </row>
    <row r="808" spans="2:14" ht="15.75" customHeight="1" x14ac:dyDescent="0.25">
      <c r="B808" s="6"/>
      <c r="D808" s="4"/>
      <c r="E808" s="4"/>
      <c r="L808" s="13"/>
      <c r="N808" s="6"/>
    </row>
    <row r="809" spans="2:14" ht="15.75" customHeight="1" x14ac:dyDescent="0.25">
      <c r="B809" s="6"/>
      <c r="D809" s="4"/>
      <c r="E809" s="4"/>
      <c r="L809" s="13"/>
      <c r="N809" s="6"/>
    </row>
    <row r="810" spans="2:14" ht="15.75" customHeight="1" x14ac:dyDescent="0.25">
      <c r="B810" s="6"/>
      <c r="D810" s="4"/>
      <c r="E810" s="4"/>
      <c r="L810" s="13"/>
      <c r="N810" s="6"/>
    </row>
    <row r="811" spans="2:14" ht="15.75" customHeight="1" x14ac:dyDescent="0.25">
      <c r="B811" s="6"/>
      <c r="D811" s="4"/>
      <c r="E811" s="4"/>
      <c r="L811" s="13"/>
      <c r="N811" s="6"/>
    </row>
    <row r="812" spans="2:14" ht="15.75" customHeight="1" x14ac:dyDescent="0.25">
      <c r="B812" s="6"/>
      <c r="D812" s="4"/>
      <c r="E812" s="4"/>
      <c r="L812" s="13"/>
      <c r="N812" s="6"/>
    </row>
    <row r="813" spans="2:14" ht="15.75" customHeight="1" x14ac:dyDescent="0.25">
      <c r="B813" s="6"/>
      <c r="D813" s="4"/>
      <c r="E813" s="4"/>
      <c r="L813" s="13"/>
      <c r="N813" s="6"/>
    </row>
    <row r="814" spans="2:14" ht="15.75" customHeight="1" x14ac:dyDescent="0.25">
      <c r="B814" s="6"/>
      <c r="D814" s="4"/>
      <c r="E814" s="4"/>
      <c r="L814" s="13"/>
      <c r="N814" s="6"/>
    </row>
    <row r="815" spans="2:14" ht="15.75" customHeight="1" x14ac:dyDescent="0.25">
      <c r="B815" s="6"/>
      <c r="D815" s="4"/>
      <c r="E815" s="4"/>
      <c r="L815" s="13"/>
      <c r="N815" s="6"/>
    </row>
    <row r="816" spans="2:14" ht="15.75" customHeight="1" x14ac:dyDescent="0.25">
      <c r="B816" s="6"/>
      <c r="D816" s="4"/>
      <c r="E816" s="4"/>
      <c r="L816" s="13"/>
      <c r="N816" s="6"/>
    </row>
    <row r="817" spans="2:14" ht="15.75" customHeight="1" x14ac:dyDescent="0.25">
      <c r="B817" s="6"/>
      <c r="D817" s="4"/>
      <c r="E817" s="4"/>
      <c r="L817" s="13"/>
      <c r="N817" s="6"/>
    </row>
    <row r="818" spans="2:14" ht="15.75" customHeight="1" x14ac:dyDescent="0.25">
      <c r="B818" s="6"/>
      <c r="D818" s="4"/>
      <c r="E818" s="4"/>
      <c r="L818" s="13"/>
      <c r="N818" s="6"/>
    </row>
    <row r="819" spans="2:14" ht="15.75" customHeight="1" x14ac:dyDescent="0.25">
      <c r="B819" s="6"/>
      <c r="D819" s="4"/>
      <c r="E819" s="4"/>
      <c r="L819" s="13"/>
      <c r="N819" s="6"/>
    </row>
    <row r="820" spans="2:14" ht="15.75" customHeight="1" x14ac:dyDescent="0.25">
      <c r="B820" s="6"/>
      <c r="D820" s="4"/>
      <c r="E820" s="4"/>
      <c r="L820" s="13"/>
      <c r="N820" s="6"/>
    </row>
    <row r="821" spans="2:14" ht="15.75" customHeight="1" x14ac:dyDescent="0.25">
      <c r="B821" s="6"/>
      <c r="D821" s="4"/>
      <c r="E821" s="4"/>
      <c r="L821" s="13"/>
      <c r="N821" s="6"/>
    </row>
    <row r="822" spans="2:14" ht="15.75" customHeight="1" x14ac:dyDescent="0.25">
      <c r="B822" s="6"/>
      <c r="D822" s="4"/>
      <c r="E822" s="4"/>
      <c r="L822" s="13"/>
      <c r="N822" s="6"/>
    </row>
    <row r="823" spans="2:14" ht="15.75" customHeight="1" x14ac:dyDescent="0.25">
      <c r="B823" s="6"/>
      <c r="D823" s="4"/>
      <c r="E823" s="4"/>
      <c r="L823" s="13"/>
      <c r="N823" s="6"/>
    </row>
    <row r="824" spans="2:14" ht="15.75" customHeight="1" x14ac:dyDescent="0.25">
      <c r="B824" s="6"/>
      <c r="D824" s="4"/>
      <c r="E824" s="4"/>
      <c r="L824" s="13"/>
      <c r="N824" s="6"/>
    </row>
    <row r="825" spans="2:14" ht="15.75" customHeight="1" x14ac:dyDescent="0.25">
      <c r="B825" s="6"/>
      <c r="D825" s="4"/>
      <c r="E825" s="4"/>
      <c r="L825" s="13"/>
      <c r="N825" s="6"/>
    </row>
    <row r="826" spans="2:14" ht="15.75" customHeight="1" x14ac:dyDescent="0.25">
      <c r="B826" s="6"/>
      <c r="D826" s="4"/>
      <c r="E826" s="4"/>
      <c r="L826" s="13"/>
      <c r="N826" s="6"/>
    </row>
    <row r="827" spans="2:14" ht="15.75" customHeight="1" x14ac:dyDescent="0.25">
      <c r="B827" s="6"/>
      <c r="D827" s="4"/>
      <c r="E827" s="4"/>
      <c r="L827" s="13"/>
      <c r="N827" s="6"/>
    </row>
    <row r="828" spans="2:14" ht="15.75" customHeight="1" x14ac:dyDescent="0.25">
      <c r="B828" s="6"/>
      <c r="D828" s="4"/>
      <c r="E828" s="4"/>
      <c r="L828" s="13"/>
      <c r="N828" s="6"/>
    </row>
    <row r="829" spans="2:14" ht="15.75" customHeight="1" x14ac:dyDescent="0.25">
      <c r="B829" s="6"/>
      <c r="D829" s="4"/>
      <c r="E829" s="4"/>
      <c r="L829" s="13"/>
      <c r="N829" s="6"/>
    </row>
    <row r="830" spans="2:14" ht="15.75" customHeight="1" x14ac:dyDescent="0.25">
      <c r="B830" s="6"/>
      <c r="D830" s="4"/>
      <c r="E830" s="4"/>
      <c r="L830" s="13"/>
      <c r="N830" s="6"/>
    </row>
    <row r="831" spans="2:14" ht="15.75" customHeight="1" x14ac:dyDescent="0.25">
      <c r="B831" s="6"/>
      <c r="D831" s="4"/>
      <c r="E831" s="4"/>
      <c r="L831" s="13"/>
      <c r="N831" s="6"/>
    </row>
    <row r="832" spans="2:14" ht="15.75" customHeight="1" x14ac:dyDescent="0.25">
      <c r="B832" s="6"/>
      <c r="D832" s="4"/>
      <c r="E832" s="4"/>
      <c r="L832" s="13"/>
      <c r="N832" s="6"/>
    </row>
    <row r="833" spans="2:14" ht="15.75" customHeight="1" x14ac:dyDescent="0.25">
      <c r="B833" s="6"/>
      <c r="D833" s="4"/>
      <c r="E833" s="4"/>
      <c r="L833" s="13"/>
      <c r="N833" s="6"/>
    </row>
    <row r="834" spans="2:14" ht="15.75" customHeight="1" x14ac:dyDescent="0.25">
      <c r="B834" s="6"/>
      <c r="D834" s="4"/>
      <c r="E834" s="4"/>
      <c r="L834" s="13"/>
      <c r="N834" s="6"/>
    </row>
    <row r="835" spans="2:14" ht="15.75" customHeight="1" x14ac:dyDescent="0.25">
      <c r="B835" s="6"/>
      <c r="D835" s="4"/>
      <c r="E835" s="4"/>
      <c r="L835" s="13"/>
      <c r="N835" s="6"/>
    </row>
    <row r="836" spans="2:14" ht="15.75" customHeight="1" x14ac:dyDescent="0.25">
      <c r="B836" s="6"/>
      <c r="D836" s="4"/>
      <c r="E836" s="4"/>
      <c r="L836" s="13"/>
      <c r="N836" s="6"/>
    </row>
    <row r="837" spans="2:14" ht="15.75" customHeight="1" x14ac:dyDescent="0.25">
      <c r="B837" s="6"/>
      <c r="D837" s="4"/>
      <c r="E837" s="4"/>
      <c r="L837" s="13"/>
      <c r="N837" s="6"/>
    </row>
    <row r="838" spans="2:14" ht="15.75" customHeight="1" x14ac:dyDescent="0.25">
      <c r="B838" s="6"/>
      <c r="D838" s="4"/>
      <c r="E838" s="4"/>
      <c r="L838" s="13"/>
      <c r="N838" s="6"/>
    </row>
    <row r="839" spans="2:14" ht="15.75" customHeight="1" x14ac:dyDescent="0.25">
      <c r="B839" s="6"/>
      <c r="D839" s="4"/>
      <c r="E839" s="4"/>
      <c r="L839" s="13"/>
      <c r="N839" s="6"/>
    </row>
    <row r="840" spans="2:14" ht="15.75" customHeight="1" x14ac:dyDescent="0.25">
      <c r="B840" s="6"/>
      <c r="D840" s="4"/>
      <c r="E840" s="4"/>
      <c r="L840" s="13"/>
      <c r="N840" s="6"/>
    </row>
    <row r="841" spans="2:14" ht="15.75" customHeight="1" x14ac:dyDescent="0.25">
      <c r="B841" s="6"/>
      <c r="D841" s="4"/>
      <c r="E841" s="4"/>
      <c r="L841" s="13"/>
      <c r="N841" s="6"/>
    </row>
    <row r="842" spans="2:14" ht="15.75" customHeight="1" x14ac:dyDescent="0.25">
      <c r="B842" s="6"/>
      <c r="D842" s="4"/>
      <c r="E842" s="4"/>
      <c r="L842" s="13"/>
      <c r="N842" s="6"/>
    </row>
    <row r="843" spans="2:14" ht="15.75" customHeight="1" x14ac:dyDescent="0.25">
      <c r="B843" s="6"/>
      <c r="D843" s="4"/>
      <c r="E843" s="4"/>
      <c r="L843" s="13"/>
      <c r="N843" s="6"/>
    </row>
    <row r="844" spans="2:14" ht="15.75" customHeight="1" x14ac:dyDescent="0.25">
      <c r="B844" s="6"/>
      <c r="D844" s="4"/>
      <c r="E844" s="4"/>
      <c r="L844" s="13"/>
      <c r="N844" s="6"/>
    </row>
    <row r="845" spans="2:14" ht="15.75" customHeight="1" x14ac:dyDescent="0.25">
      <c r="B845" s="6"/>
      <c r="D845" s="4"/>
      <c r="E845" s="4"/>
      <c r="L845" s="13"/>
      <c r="N845" s="6"/>
    </row>
    <row r="846" spans="2:14" ht="15.75" customHeight="1" x14ac:dyDescent="0.25">
      <c r="B846" s="6"/>
      <c r="D846" s="4"/>
      <c r="E846" s="4"/>
      <c r="L846" s="13"/>
      <c r="N846" s="6"/>
    </row>
    <row r="847" spans="2:14" ht="15.75" customHeight="1" x14ac:dyDescent="0.25">
      <c r="B847" s="6"/>
      <c r="D847" s="4"/>
      <c r="E847" s="4"/>
      <c r="L847" s="13"/>
      <c r="N847" s="6"/>
    </row>
    <row r="848" spans="2:14" ht="15.75" customHeight="1" x14ac:dyDescent="0.25">
      <c r="B848" s="6"/>
      <c r="D848" s="4"/>
      <c r="E848" s="4"/>
      <c r="L848" s="13"/>
      <c r="N848" s="6"/>
    </row>
    <row r="849" spans="2:14" ht="15.75" customHeight="1" x14ac:dyDescent="0.25">
      <c r="B849" s="6"/>
      <c r="D849" s="4"/>
      <c r="E849" s="4"/>
      <c r="L849" s="13"/>
      <c r="N849" s="6"/>
    </row>
    <row r="850" spans="2:14" ht="15.75" customHeight="1" x14ac:dyDescent="0.25">
      <c r="B850" s="6"/>
      <c r="D850" s="4"/>
      <c r="E850" s="4"/>
      <c r="L850" s="13"/>
      <c r="N850" s="6"/>
    </row>
    <row r="851" spans="2:14" ht="15.75" customHeight="1" x14ac:dyDescent="0.25">
      <c r="B851" s="6"/>
      <c r="D851" s="4"/>
      <c r="E851" s="4"/>
      <c r="L851" s="13"/>
      <c r="N851" s="6"/>
    </row>
    <row r="852" spans="2:14" ht="15.75" customHeight="1" x14ac:dyDescent="0.25">
      <c r="B852" s="6"/>
      <c r="D852" s="4"/>
      <c r="E852" s="4"/>
      <c r="L852" s="13"/>
      <c r="N852" s="6"/>
    </row>
    <row r="853" spans="2:14" ht="15.75" customHeight="1" x14ac:dyDescent="0.25">
      <c r="B853" s="6"/>
      <c r="D853" s="4"/>
      <c r="E853" s="4"/>
      <c r="L853" s="13"/>
      <c r="N853" s="6"/>
    </row>
    <row r="854" spans="2:14" ht="15.75" customHeight="1" x14ac:dyDescent="0.25">
      <c r="B854" s="6"/>
      <c r="D854" s="4"/>
      <c r="E854" s="4"/>
      <c r="L854" s="13"/>
      <c r="N854" s="6"/>
    </row>
    <row r="855" spans="2:14" ht="15.75" customHeight="1" x14ac:dyDescent="0.25">
      <c r="B855" s="6"/>
      <c r="D855" s="4"/>
      <c r="E855" s="4"/>
      <c r="L855" s="13"/>
      <c r="N855" s="6"/>
    </row>
    <row r="856" spans="2:14" ht="15.75" customHeight="1" x14ac:dyDescent="0.25">
      <c r="B856" s="6"/>
      <c r="D856" s="4"/>
      <c r="E856" s="4"/>
      <c r="L856" s="13"/>
      <c r="N856" s="6"/>
    </row>
    <row r="857" spans="2:14" ht="15.75" customHeight="1" x14ac:dyDescent="0.25">
      <c r="B857" s="6"/>
      <c r="D857" s="4"/>
      <c r="E857" s="4"/>
      <c r="L857" s="13"/>
      <c r="N857" s="6"/>
    </row>
    <row r="858" spans="2:14" ht="15.75" customHeight="1" x14ac:dyDescent="0.25">
      <c r="B858" s="6"/>
      <c r="D858" s="4"/>
      <c r="E858" s="4"/>
      <c r="L858" s="13"/>
      <c r="N858" s="6"/>
    </row>
    <row r="859" spans="2:14" ht="15.75" customHeight="1" x14ac:dyDescent="0.25">
      <c r="B859" s="6"/>
      <c r="D859" s="4"/>
      <c r="E859" s="4"/>
      <c r="L859" s="13"/>
      <c r="N859" s="6"/>
    </row>
    <row r="860" spans="2:14" ht="15.75" customHeight="1" x14ac:dyDescent="0.25">
      <c r="B860" s="6"/>
      <c r="D860" s="4"/>
      <c r="E860" s="4"/>
      <c r="L860" s="13"/>
      <c r="N860" s="6"/>
    </row>
    <row r="861" spans="2:14" ht="15.75" customHeight="1" x14ac:dyDescent="0.25">
      <c r="B861" s="6"/>
      <c r="D861" s="4"/>
      <c r="E861" s="4"/>
      <c r="L861" s="13"/>
      <c r="N861" s="6"/>
    </row>
    <row r="862" spans="2:14" ht="15.75" customHeight="1" x14ac:dyDescent="0.25">
      <c r="B862" s="6"/>
      <c r="D862" s="4"/>
      <c r="E862" s="4"/>
      <c r="L862" s="13"/>
      <c r="N862" s="6"/>
    </row>
    <row r="863" spans="2:14" ht="15.75" customHeight="1" x14ac:dyDescent="0.25">
      <c r="B863" s="6"/>
      <c r="D863" s="4"/>
      <c r="E863" s="4"/>
      <c r="L863" s="13"/>
      <c r="N863" s="6"/>
    </row>
    <row r="864" spans="2:14" ht="15.75" customHeight="1" x14ac:dyDescent="0.25">
      <c r="B864" s="6"/>
      <c r="D864" s="4"/>
      <c r="E864" s="4"/>
      <c r="L864" s="13"/>
      <c r="N864" s="6"/>
    </row>
    <row r="865" spans="2:14" ht="15.75" customHeight="1" x14ac:dyDescent="0.25">
      <c r="B865" s="6"/>
      <c r="D865" s="4"/>
      <c r="E865" s="4"/>
      <c r="L865" s="13"/>
      <c r="N865" s="6"/>
    </row>
    <row r="866" spans="2:14" ht="15.75" customHeight="1" x14ac:dyDescent="0.25">
      <c r="B866" s="6"/>
      <c r="D866" s="4"/>
      <c r="E866" s="4"/>
      <c r="L866" s="13"/>
      <c r="N866" s="6"/>
    </row>
    <row r="867" spans="2:14" ht="15.75" customHeight="1" x14ac:dyDescent="0.25">
      <c r="B867" s="6"/>
      <c r="D867" s="4"/>
      <c r="E867" s="4"/>
      <c r="L867" s="13"/>
      <c r="N867" s="6"/>
    </row>
    <row r="868" spans="2:14" ht="15.75" customHeight="1" x14ac:dyDescent="0.25">
      <c r="B868" s="6"/>
      <c r="D868" s="4"/>
      <c r="E868" s="4"/>
      <c r="L868" s="13"/>
      <c r="N868" s="6"/>
    </row>
    <row r="869" spans="2:14" ht="15.75" customHeight="1" x14ac:dyDescent="0.25">
      <c r="B869" s="6"/>
      <c r="D869" s="4"/>
      <c r="E869" s="4"/>
      <c r="L869" s="13"/>
      <c r="N869" s="6"/>
    </row>
    <row r="870" spans="2:14" ht="15.75" customHeight="1" x14ac:dyDescent="0.25">
      <c r="B870" s="6"/>
      <c r="D870" s="4"/>
      <c r="E870" s="4"/>
      <c r="L870" s="13"/>
      <c r="N870" s="6"/>
    </row>
    <row r="871" spans="2:14" ht="15.75" customHeight="1" x14ac:dyDescent="0.25">
      <c r="B871" s="6"/>
      <c r="D871" s="4"/>
      <c r="E871" s="4"/>
      <c r="L871" s="13"/>
      <c r="N871" s="6"/>
    </row>
    <row r="872" spans="2:14" ht="15.75" customHeight="1" x14ac:dyDescent="0.25">
      <c r="B872" s="6"/>
      <c r="D872" s="4"/>
      <c r="E872" s="4"/>
      <c r="L872" s="13"/>
      <c r="N872" s="6"/>
    </row>
    <row r="873" spans="2:14" ht="15.75" customHeight="1" x14ac:dyDescent="0.25">
      <c r="B873" s="6"/>
      <c r="D873" s="4"/>
      <c r="E873" s="4"/>
      <c r="L873" s="13"/>
      <c r="N873" s="6"/>
    </row>
    <row r="874" spans="2:14" ht="15.75" customHeight="1" x14ac:dyDescent="0.25">
      <c r="B874" s="6"/>
      <c r="D874" s="4"/>
      <c r="E874" s="4"/>
      <c r="L874" s="13"/>
      <c r="N874" s="6"/>
    </row>
    <row r="875" spans="2:14" ht="15.75" customHeight="1" x14ac:dyDescent="0.25">
      <c r="B875" s="6"/>
      <c r="D875" s="4"/>
      <c r="E875" s="4"/>
      <c r="L875" s="13"/>
      <c r="N875" s="6"/>
    </row>
    <row r="876" spans="2:14" ht="15.75" customHeight="1" x14ac:dyDescent="0.25">
      <c r="B876" s="6"/>
      <c r="D876" s="4"/>
      <c r="E876" s="4"/>
      <c r="L876" s="13"/>
      <c r="N876" s="6"/>
    </row>
    <row r="877" spans="2:14" ht="15.75" customHeight="1" x14ac:dyDescent="0.25">
      <c r="B877" s="6"/>
      <c r="D877" s="4"/>
      <c r="E877" s="4"/>
      <c r="L877" s="13"/>
      <c r="N877" s="6"/>
    </row>
    <row r="878" spans="2:14" ht="15.75" customHeight="1" x14ac:dyDescent="0.25">
      <c r="B878" s="6"/>
      <c r="D878" s="4"/>
      <c r="E878" s="4"/>
      <c r="L878" s="13"/>
      <c r="N878" s="6"/>
    </row>
    <row r="879" spans="2:14" ht="15.75" customHeight="1" x14ac:dyDescent="0.25">
      <c r="B879" s="6"/>
      <c r="D879" s="4"/>
      <c r="E879" s="4"/>
      <c r="L879" s="13"/>
      <c r="N879" s="6"/>
    </row>
    <row r="880" spans="2:14" ht="15.75" customHeight="1" x14ac:dyDescent="0.25">
      <c r="B880" s="6"/>
      <c r="D880" s="4"/>
      <c r="E880" s="4"/>
      <c r="L880" s="13"/>
      <c r="N880" s="6"/>
    </row>
    <row r="881" spans="2:14" ht="15.75" customHeight="1" x14ac:dyDescent="0.25">
      <c r="B881" s="6"/>
      <c r="D881" s="4"/>
      <c r="E881" s="4"/>
      <c r="L881" s="13"/>
      <c r="N881" s="6"/>
    </row>
    <row r="882" spans="2:14" ht="15.75" customHeight="1" x14ac:dyDescent="0.25">
      <c r="B882" s="6"/>
      <c r="D882" s="4"/>
      <c r="E882" s="4"/>
      <c r="L882" s="13"/>
      <c r="N882" s="6"/>
    </row>
    <row r="883" spans="2:14" ht="15.75" customHeight="1" x14ac:dyDescent="0.25">
      <c r="B883" s="6"/>
      <c r="D883" s="4"/>
      <c r="E883" s="4"/>
      <c r="L883" s="13"/>
      <c r="N883" s="6"/>
    </row>
    <row r="884" spans="2:14" ht="15.75" customHeight="1" x14ac:dyDescent="0.25">
      <c r="B884" s="6"/>
      <c r="D884" s="4"/>
      <c r="E884" s="4"/>
      <c r="L884" s="13"/>
      <c r="N884" s="6"/>
    </row>
    <row r="885" spans="2:14" ht="15.75" customHeight="1" x14ac:dyDescent="0.25">
      <c r="B885" s="6"/>
      <c r="D885" s="4"/>
      <c r="E885" s="4"/>
      <c r="L885" s="13"/>
      <c r="N885" s="6"/>
    </row>
    <row r="886" spans="2:14" ht="15.75" customHeight="1" x14ac:dyDescent="0.25">
      <c r="B886" s="6"/>
      <c r="D886" s="4"/>
      <c r="E886" s="4"/>
      <c r="L886" s="13"/>
      <c r="N886" s="6"/>
    </row>
    <row r="887" spans="2:14" ht="15.75" customHeight="1" x14ac:dyDescent="0.25">
      <c r="B887" s="6"/>
      <c r="D887" s="4"/>
      <c r="E887" s="4"/>
      <c r="L887" s="13"/>
      <c r="N887" s="6"/>
    </row>
    <row r="888" spans="2:14" ht="15.75" customHeight="1" x14ac:dyDescent="0.25">
      <c r="B888" s="6"/>
      <c r="D888" s="4"/>
      <c r="E888" s="4"/>
      <c r="L888" s="13"/>
      <c r="N888" s="6"/>
    </row>
    <row r="889" spans="2:14" ht="15.75" customHeight="1" x14ac:dyDescent="0.25">
      <c r="B889" s="6"/>
      <c r="D889" s="4"/>
      <c r="E889" s="4"/>
      <c r="L889" s="13"/>
      <c r="N889" s="6"/>
    </row>
    <row r="890" spans="2:14" ht="15.75" customHeight="1" x14ac:dyDescent="0.25">
      <c r="B890" s="6"/>
      <c r="D890" s="4"/>
      <c r="E890" s="4"/>
      <c r="L890" s="13"/>
      <c r="N890" s="6"/>
    </row>
    <row r="891" spans="2:14" ht="15.75" customHeight="1" x14ac:dyDescent="0.25">
      <c r="B891" s="6"/>
      <c r="D891" s="4"/>
      <c r="E891" s="4"/>
      <c r="L891" s="13"/>
      <c r="N891" s="6"/>
    </row>
    <row r="892" spans="2:14" ht="15.75" customHeight="1" x14ac:dyDescent="0.25">
      <c r="B892" s="6"/>
      <c r="D892" s="4"/>
      <c r="E892" s="4"/>
      <c r="L892" s="13"/>
      <c r="N892" s="6"/>
    </row>
    <row r="893" spans="2:14" ht="15.75" customHeight="1" x14ac:dyDescent="0.25">
      <c r="B893" s="6"/>
      <c r="D893" s="4"/>
      <c r="E893" s="4"/>
      <c r="L893" s="13"/>
      <c r="N893" s="6"/>
    </row>
    <row r="894" spans="2:14" ht="15.75" customHeight="1" x14ac:dyDescent="0.25">
      <c r="B894" s="6"/>
      <c r="D894" s="4"/>
      <c r="E894" s="4"/>
      <c r="L894" s="13"/>
      <c r="N894" s="6"/>
    </row>
    <row r="895" spans="2:14" ht="15.75" customHeight="1" x14ac:dyDescent="0.25">
      <c r="B895" s="6"/>
      <c r="D895" s="4"/>
      <c r="E895" s="4"/>
      <c r="L895" s="13"/>
      <c r="N895" s="6"/>
    </row>
    <row r="896" spans="2:14" ht="15.75" customHeight="1" x14ac:dyDescent="0.25">
      <c r="B896" s="6"/>
      <c r="D896" s="4"/>
      <c r="E896" s="4"/>
      <c r="L896" s="13"/>
      <c r="N896" s="6"/>
    </row>
    <row r="897" spans="2:14" ht="15.75" customHeight="1" x14ac:dyDescent="0.25">
      <c r="B897" s="6"/>
      <c r="D897" s="4"/>
      <c r="E897" s="4"/>
      <c r="L897" s="13"/>
      <c r="N897" s="6"/>
    </row>
    <row r="898" spans="2:14" ht="15.75" customHeight="1" x14ac:dyDescent="0.25">
      <c r="B898" s="6"/>
      <c r="D898" s="4"/>
      <c r="E898" s="4"/>
      <c r="L898" s="13"/>
      <c r="N898" s="6"/>
    </row>
    <row r="899" spans="2:14" ht="15.75" customHeight="1" x14ac:dyDescent="0.25">
      <c r="B899" s="6"/>
      <c r="D899" s="4"/>
      <c r="E899" s="4"/>
      <c r="L899" s="13"/>
      <c r="N899" s="6"/>
    </row>
    <row r="900" spans="2:14" ht="15.75" customHeight="1" x14ac:dyDescent="0.25">
      <c r="B900" s="6"/>
      <c r="D900" s="4"/>
      <c r="E900" s="4"/>
      <c r="L900" s="13"/>
      <c r="N900" s="6"/>
    </row>
    <row r="901" spans="2:14" ht="15.75" customHeight="1" x14ac:dyDescent="0.25">
      <c r="B901" s="6"/>
      <c r="D901" s="4"/>
      <c r="E901" s="4"/>
      <c r="L901" s="13"/>
      <c r="N901" s="6"/>
    </row>
    <row r="902" spans="2:14" ht="15.75" customHeight="1" x14ac:dyDescent="0.25">
      <c r="B902" s="6"/>
      <c r="D902" s="4"/>
      <c r="E902" s="4"/>
      <c r="L902" s="13"/>
      <c r="N902" s="6"/>
    </row>
    <row r="903" spans="2:14" ht="15.75" customHeight="1" x14ac:dyDescent="0.25">
      <c r="B903" s="6"/>
      <c r="D903" s="4"/>
      <c r="E903" s="4"/>
      <c r="L903" s="13"/>
      <c r="N903" s="6"/>
    </row>
    <row r="904" spans="2:14" ht="15.75" customHeight="1" x14ac:dyDescent="0.25">
      <c r="B904" s="6"/>
      <c r="D904" s="4"/>
      <c r="E904" s="4"/>
      <c r="L904" s="13"/>
      <c r="N904" s="6"/>
    </row>
    <row r="905" spans="2:14" ht="15.75" customHeight="1" x14ac:dyDescent="0.25">
      <c r="B905" s="6"/>
      <c r="D905" s="4"/>
      <c r="E905" s="4"/>
      <c r="L905" s="13"/>
      <c r="N905" s="6"/>
    </row>
    <row r="906" spans="2:14" ht="15.75" customHeight="1" x14ac:dyDescent="0.25">
      <c r="B906" s="6"/>
      <c r="D906" s="4"/>
      <c r="E906" s="4"/>
      <c r="L906" s="13"/>
      <c r="N906" s="6"/>
    </row>
    <row r="907" spans="2:14" ht="15.75" customHeight="1" x14ac:dyDescent="0.25">
      <c r="B907" s="6"/>
      <c r="D907" s="4"/>
      <c r="E907" s="4"/>
      <c r="L907" s="13"/>
      <c r="N907" s="6"/>
    </row>
    <row r="908" spans="2:14" ht="15.75" customHeight="1" x14ac:dyDescent="0.25">
      <c r="B908" s="6"/>
      <c r="D908" s="4"/>
      <c r="E908" s="4"/>
      <c r="L908" s="13"/>
      <c r="N908" s="6"/>
    </row>
    <row r="909" spans="2:14" ht="15.75" customHeight="1" x14ac:dyDescent="0.25">
      <c r="B909" s="6"/>
      <c r="D909" s="4"/>
      <c r="E909" s="4"/>
      <c r="L909" s="13"/>
      <c r="N909" s="6"/>
    </row>
    <row r="910" spans="2:14" ht="15.75" customHeight="1" x14ac:dyDescent="0.25">
      <c r="B910" s="6"/>
      <c r="D910" s="4"/>
      <c r="E910" s="4"/>
      <c r="L910" s="13"/>
      <c r="N910" s="6"/>
    </row>
    <row r="911" spans="2:14" ht="15.75" customHeight="1" x14ac:dyDescent="0.25">
      <c r="B911" s="6"/>
      <c r="D911" s="4"/>
      <c r="E911" s="4"/>
      <c r="L911" s="13"/>
      <c r="N911" s="6"/>
    </row>
    <row r="912" spans="2:14" ht="15.75" customHeight="1" x14ac:dyDescent="0.25">
      <c r="B912" s="6"/>
      <c r="D912" s="4"/>
      <c r="E912" s="4"/>
      <c r="L912" s="13"/>
      <c r="N912" s="6"/>
    </row>
    <row r="913" spans="2:14" ht="15.75" customHeight="1" x14ac:dyDescent="0.25">
      <c r="B913" s="6"/>
      <c r="D913" s="4"/>
      <c r="E913" s="4"/>
      <c r="L913" s="13"/>
      <c r="N913" s="6"/>
    </row>
    <row r="914" spans="2:14" ht="15.75" customHeight="1" x14ac:dyDescent="0.25">
      <c r="B914" s="6"/>
      <c r="D914" s="4"/>
      <c r="E914" s="4"/>
      <c r="L914" s="13"/>
      <c r="N914" s="6"/>
    </row>
    <row r="915" spans="2:14" ht="15.75" customHeight="1" x14ac:dyDescent="0.25">
      <c r="B915" s="6"/>
      <c r="D915" s="4"/>
      <c r="E915" s="4"/>
      <c r="L915" s="13"/>
      <c r="N915" s="6"/>
    </row>
    <row r="916" spans="2:14" ht="15.75" customHeight="1" x14ac:dyDescent="0.25">
      <c r="B916" s="6"/>
      <c r="D916" s="4"/>
      <c r="E916" s="4"/>
      <c r="L916" s="13"/>
      <c r="N916" s="6"/>
    </row>
    <row r="917" spans="2:14" ht="15.75" customHeight="1" x14ac:dyDescent="0.25">
      <c r="B917" s="6"/>
      <c r="D917" s="4"/>
      <c r="E917" s="4"/>
      <c r="L917" s="13"/>
      <c r="N917" s="6"/>
    </row>
    <row r="918" spans="2:14" ht="15.75" customHeight="1" x14ac:dyDescent="0.25">
      <c r="B918" s="6"/>
      <c r="D918" s="4"/>
      <c r="E918" s="4"/>
      <c r="L918" s="13"/>
      <c r="N918" s="6"/>
    </row>
    <row r="919" spans="2:14" ht="15.75" customHeight="1" x14ac:dyDescent="0.25">
      <c r="B919" s="6"/>
      <c r="D919" s="4"/>
      <c r="E919" s="4"/>
      <c r="L919" s="13"/>
      <c r="N919" s="6"/>
    </row>
    <row r="920" spans="2:14" ht="15.75" customHeight="1" x14ac:dyDescent="0.25">
      <c r="B920" s="6"/>
      <c r="D920" s="4"/>
      <c r="E920" s="4"/>
      <c r="L920" s="13"/>
      <c r="N920" s="6"/>
    </row>
    <row r="921" spans="2:14" ht="15.75" customHeight="1" x14ac:dyDescent="0.25">
      <c r="B921" s="6"/>
      <c r="D921" s="4"/>
      <c r="E921" s="4"/>
      <c r="L921" s="13"/>
      <c r="N921" s="6"/>
    </row>
    <row r="922" spans="2:14" ht="15.75" customHeight="1" x14ac:dyDescent="0.25">
      <c r="B922" s="6"/>
      <c r="D922" s="4"/>
      <c r="E922" s="4"/>
      <c r="L922" s="13"/>
      <c r="N922" s="6"/>
    </row>
    <row r="923" spans="2:14" ht="15.75" customHeight="1" x14ac:dyDescent="0.25">
      <c r="B923" s="6"/>
      <c r="D923" s="4"/>
      <c r="E923" s="4"/>
      <c r="L923" s="13"/>
      <c r="N923" s="6"/>
    </row>
    <row r="924" spans="2:14" ht="15.75" customHeight="1" x14ac:dyDescent="0.25">
      <c r="B924" s="6"/>
      <c r="D924" s="4"/>
      <c r="E924" s="4"/>
      <c r="L924" s="13"/>
      <c r="N924" s="6"/>
    </row>
    <row r="925" spans="2:14" ht="15.75" customHeight="1" x14ac:dyDescent="0.25">
      <c r="B925" s="6"/>
      <c r="D925" s="4"/>
      <c r="E925" s="4"/>
      <c r="L925" s="13"/>
      <c r="N925" s="6"/>
    </row>
    <row r="926" spans="2:14" ht="15.75" customHeight="1" x14ac:dyDescent="0.25">
      <c r="B926" s="6"/>
      <c r="D926" s="4"/>
      <c r="E926" s="4"/>
      <c r="L926" s="13"/>
      <c r="N926" s="6"/>
    </row>
    <row r="927" spans="2:14" ht="15.75" customHeight="1" x14ac:dyDescent="0.25">
      <c r="B927" s="6"/>
      <c r="D927" s="4"/>
      <c r="E927" s="4"/>
      <c r="L927" s="13"/>
      <c r="N927" s="6"/>
    </row>
    <row r="928" spans="2:14" ht="15.75" customHeight="1" x14ac:dyDescent="0.25">
      <c r="B928" s="6"/>
      <c r="D928" s="4"/>
      <c r="E928" s="4"/>
      <c r="L928" s="13"/>
      <c r="N928" s="6"/>
    </row>
    <row r="929" spans="2:14" ht="15.75" customHeight="1" x14ac:dyDescent="0.25">
      <c r="B929" s="6"/>
      <c r="D929" s="4"/>
      <c r="E929" s="4"/>
      <c r="L929" s="13"/>
      <c r="N929" s="6"/>
    </row>
    <row r="930" spans="2:14" ht="15.75" customHeight="1" x14ac:dyDescent="0.25">
      <c r="B930" s="6"/>
      <c r="D930" s="4"/>
      <c r="E930" s="4"/>
      <c r="L930" s="13"/>
      <c r="N930" s="6"/>
    </row>
    <row r="931" spans="2:14" ht="15.75" customHeight="1" x14ac:dyDescent="0.25">
      <c r="B931" s="6"/>
      <c r="D931" s="4"/>
      <c r="E931" s="4"/>
      <c r="L931" s="13"/>
      <c r="N931" s="6"/>
    </row>
    <row r="932" spans="2:14" ht="15.75" customHeight="1" x14ac:dyDescent="0.25">
      <c r="B932" s="6"/>
      <c r="D932" s="4"/>
      <c r="E932" s="4"/>
      <c r="L932" s="13"/>
      <c r="N932" s="6"/>
    </row>
    <row r="933" spans="2:14" ht="15.75" customHeight="1" x14ac:dyDescent="0.25">
      <c r="B933" s="6"/>
      <c r="D933" s="4"/>
      <c r="E933" s="4"/>
      <c r="L933" s="13"/>
      <c r="N933" s="6"/>
    </row>
    <row r="934" spans="2:14" ht="15.75" customHeight="1" x14ac:dyDescent="0.25">
      <c r="B934" s="6"/>
      <c r="D934" s="4"/>
      <c r="E934" s="4"/>
      <c r="L934" s="13"/>
      <c r="N934" s="6"/>
    </row>
    <row r="935" spans="2:14" ht="15.75" customHeight="1" x14ac:dyDescent="0.25">
      <c r="B935" s="6"/>
      <c r="D935" s="4"/>
      <c r="E935" s="4"/>
      <c r="L935" s="13"/>
      <c r="N935" s="6"/>
    </row>
    <row r="936" spans="2:14" ht="15.75" customHeight="1" x14ac:dyDescent="0.25">
      <c r="B936" s="6"/>
      <c r="D936" s="4"/>
      <c r="E936" s="4"/>
      <c r="L936" s="13"/>
      <c r="N936" s="6"/>
    </row>
    <row r="937" spans="2:14" ht="15.75" customHeight="1" x14ac:dyDescent="0.25">
      <c r="B937" s="6"/>
      <c r="D937" s="4"/>
      <c r="E937" s="4"/>
      <c r="L937" s="13"/>
      <c r="N937" s="6"/>
    </row>
    <row r="938" spans="2:14" ht="15.75" customHeight="1" x14ac:dyDescent="0.25">
      <c r="B938" s="6"/>
      <c r="D938" s="4"/>
      <c r="E938" s="4"/>
      <c r="L938" s="13"/>
      <c r="N938" s="6"/>
    </row>
    <row r="939" spans="2:14" ht="15.75" customHeight="1" x14ac:dyDescent="0.25">
      <c r="B939" s="6"/>
      <c r="D939" s="4"/>
      <c r="E939" s="4"/>
      <c r="L939" s="13"/>
      <c r="N939" s="6"/>
    </row>
    <row r="940" spans="2:14" ht="15.75" customHeight="1" x14ac:dyDescent="0.25">
      <c r="B940" s="6"/>
      <c r="D940" s="4"/>
      <c r="E940" s="4"/>
      <c r="L940" s="13"/>
      <c r="N940" s="6"/>
    </row>
    <row r="941" spans="2:14" ht="15.75" customHeight="1" x14ac:dyDescent="0.25">
      <c r="B941" s="6"/>
      <c r="D941" s="4"/>
      <c r="E941" s="4"/>
      <c r="L941" s="13"/>
      <c r="N941" s="6"/>
    </row>
    <row r="942" spans="2:14" ht="15.75" customHeight="1" x14ac:dyDescent="0.25">
      <c r="B942" s="6"/>
      <c r="D942" s="4"/>
      <c r="E942" s="4"/>
      <c r="L942" s="13"/>
      <c r="N942" s="6"/>
    </row>
    <row r="943" spans="2:14" ht="15.75" customHeight="1" x14ac:dyDescent="0.25">
      <c r="B943" s="6"/>
      <c r="D943" s="4"/>
      <c r="E943" s="4"/>
      <c r="L943" s="13"/>
      <c r="N943" s="6"/>
    </row>
    <row r="944" spans="2:14" ht="15.75" customHeight="1" x14ac:dyDescent="0.25">
      <c r="B944" s="6"/>
      <c r="D944" s="4"/>
      <c r="E944" s="4"/>
      <c r="L944" s="13"/>
      <c r="N944" s="6"/>
    </row>
    <row r="945" spans="2:14" ht="15.75" customHeight="1" x14ac:dyDescent="0.25">
      <c r="B945" s="6"/>
      <c r="D945" s="4"/>
      <c r="E945" s="4"/>
      <c r="L945" s="13"/>
      <c r="N945" s="6"/>
    </row>
    <row r="946" spans="2:14" ht="15.75" customHeight="1" x14ac:dyDescent="0.25">
      <c r="B946" s="6"/>
      <c r="D946" s="4"/>
      <c r="E946" s="4"/>
      <c r="L946" s="13"/>
      <c r="N946" s="6"/>
    </row>
    <row r="947" spans="2:14" ht="15.75" customHeight="1" x14ac:dyDescent="0.25">
      <c r="B947" s="6"/>
      <c r="D947" s="4"/>
      <c r="E947" s="4"/>
      <c r="L947" s="13"/>
      <c r="N947" s="6"/>
    </row>
    <row r="948" spans="2:14" ht="15.75" customHeight="1" x14ac:dyDescent="0.25">
      <c r="B948" s="6"/>
      <c r="D948" s="4"/>
      <c r="E948" s="4"/>
      <c r="L948" s="13"/>
      <c r="N948" s="6"/>
    </row>
    <row r="949" spans="2:14" ht="15.75" customHeight="1" x14ac:dyDescent="0.25">
      <c r="B949" s="6"/>
      <c r="D949" s="4"/>
      <c r="E949" s="4"/>
      <c r="L949" s="13"/>
      <c r="N949" s="6"/>
    </row>
    <row r="950" spans="2:14" ht="15.75" customHeight="1" x14ac:dyDescent="0.25">
      <c r="B950" s="6"/>
      <c r="D950" s="4"/>
      <c r="E950" s="4"/>
      <c r="L950" s="13"/>
      <c r="N950" s="6"/>
    </row>
    <row r="951" spans="2:14" ht="15.75" customHeight="1" x14ac:dyDescent="0.25">
      <c r="B951" s="6"/>
      <c r="D951" s="4"/>
      <c r="E951" s="4"/>
      <c r="L951" s="13"/>
      <c r="N951" s="6"/>
    </row>
    <row r="952" spans="2:14" ht="15.75" customHeight="1" x14ac:dyDescent="0.25">
      <c r="B952" s="6"/>
      <c r="D952" s="4"/>
      <c r="E952" s="4"/>
      <c r="L952" s="13"/>
      <c r="N952" s="6"/>
    </row>
    <row r="953" spans="2:14" ht="15.75" customHeight="1" x14ac:dyDescent="0.25">
      <c r="B953" s="6"/>
      <c r="D953" s="4"/>
      <c r="E953" s="4"/>
      <c r="L953" s="13"/>
      <c r="N953" s="6"/>
    </row>
    <row r="954" spans="2:14" ht="15.75" customHeight="1" x14ac:dyDescent="0.25">
      <c r="B954" s="6"/>
      <c r="D954" s="4"/>
      <c r="E954" s="4"/>
      <c r="L954" s="13"/>
      <c r="N954" s="6"/>
    </row>
    <row r="955" spans="2:14" ht="15.75" customHeight="1" x14ac:dyDescent="0.25">
      <c r="B955" s="6"/>
      <c r="D955" s="4"/>
      <c r="E955" s="4"/>
      <c r="L955" s="13"/>
      <c r="N955" s="6"/>
    </row>
    <row r="956" spans="2:14" ht="15.75" customHeight="1" x14ac:dyDescent="0.25">
      <c r="B956" s="6"/>
      <c r="D956" s="4"/>
      <c r="E956" s="4"/>
      <c r="L956" s="13"/>
      <c r="N956" s="6"/>
    </row>
    <row r="957" spans="2:14" ht="15.75" customHeight="1" x14ac:dyDescent="0.25">
      <c r="B957" s="6"/>
      <c r="D957" s="4"/>
      <c r="E957" s="4"/>
      <c r="L957" s="13"/>
      <c r="N957" s="6"/>
    </row>
    <row r="958" spans="2:14" ht="15.75" customHeight="1" x14ac:dyDescent="0.25">
      <c r="B958" s="6"/>
      <c r="D958" s="4"/>
      <c r="E958" s="4"/>
      <c r="L958" s="13"/>
      <c r="N958" s="6"/>
    </row>
    <row r="959" spans="2:14" ht="15.75" customHeight="1" x14ac:dyDescent="0.25">
      <c r="B959" s="6"/>
      <c r="D959" s="4"/>
      <c r="E959" s="4"/>
      <c r="L959" s="13"/>
      <c r="N959" s="6"/>
    </row>
    <row r="960" spans="2:14" ht="15.75" customHeight="1" x14ac:dyDescent="0.25">
      <c r="B960" s="6"/>
      <c r="D960" s="4"/>
      <c r="E960" s="4"/>
      <c r="L960" s="13"/>
      <c r="N960" s="6"/>
    </row>
    <row r="961" spans="2:14" ht="15.75" customHeight="1" x14ac:dyDescent="0.25">
      <c r="B961" s="6"/>
      <c r="D961" s="4"/>
      <c r="E961" s="4"/>
      <c r="L961" s="13"/>
      <c r="N961" s="6"/>
    </row>
    <row r="962" spans="2:14" ht="15.75" customHeight="1" x14ac:dyDescent="0.25">
      <c r="B962" s="6"/>
      <c r="D962" s="4"/>
      <c r="E962" s="4"/>
      <c r="L962" s="13"/>
      <c r="N962" s="6"/>
    </row>
    <row r="963" spans="2:14" ht="15.75" customHeight="1" x14ac:dyDescent="0.25">
      <c r="B963" s="6"/>
      <c r="D963" s="4"/>
      <c r="E963" s="4"/>
      <c r="L963" s="13"/>
      <c r="N963" s="6"/>
    </row>
    <row r="964" spans="2:14" ht="15.75" customHeight="1" x14ac:dyDescent="0.25">
      <c r="B964" s="6"/>
      <c r="D964" s="4"/>
      <c r="E964" s="4"/>
      <c r="L964" s="13"/>
      <c r="N964" s="6"/>
    </row>
    <row r="965" spans="2:14" ht="15.75" customHeight="1" x14ac:dyDescent="0.25">
      <c r="B965" s="6"/>
      <c r="D965" s="4"/>
      <c r="E965" s="4"/>
      <c r="L965" s="13"/>
      <c r="N965" s="6"/>
    </row>
    <row r="966" spans="2:14" ht="15.75" customHeight="1" x14ac:dyDescent="0.25">
      <c r="B966" s="6"/>
      <c r="D966" s="4"/>
      <c r="E966" s="4"/>
      <c r="L966" s="13"/>
      <c r="N966" s="6"/>
    </row>
    <row r="967" spans="2:14" ht="15.75" customHeight="1" x14ac:dyDescent="0.25">
      <c r="B967" s="6"/>
      <c r="D967" s="4"/>
      <c r="E967" s="4"/>
      <c r="L967" s="13"/>
      <c r="N967" s="6"/>
    </row>
    <row r="968" spans="2:14" ht="15.75" customHeight="1" x14ac:dyDescent="0.25">
      <c r="B968" s="6"/>
      <c r="D968" s="4"/>
      <c r="E968" s="4"/>
      <c r="L968" s="13"/>
      <c r="N968" s="6"/>
    </row>
    <row r="969" spans="2:14" ht="15.75" customHeight="1" x14ac:dyDescent="0.25">
      <c r="B969" s="6"/>
      <c r="D969" s="4"/>
      <c r="E969" s="4"/>
      <c r="L969" s="13"/>
      <c r="N969" s="6"/>
    </row>
    <row r="970" spans="2:14" ht="15.75" customHeight="1" x14ac:dyDescent="0.25">
      <c r="B970" s="6"/>
      <c r="D970" s="4"/>
      <c r="E970" s="4"/>
      <c r="L970" s="13"/>
      <c r="N970" s="6"/>
    </row>
    <row r="971" spans="2:14" ht="15.75" customHeight="1" x14ac:dyDescent="0.25">
      <c r="B971" s="6"/>
      <c r="D971" s="4"/>
      <c r="E971" s="4"/>
      <c r="L971" s="13"/>
      <c r="N971" s="6"/>
    </row>
    <row r="972" spans="2:14" ht="15.75" customHeight="1" x14ac:dyDescent="0.25">
      <c r="B972" s="6"/>
      <c r="D972" s="4"/>
      <c r="E972" s="4"/>
      <c r="L972" s="13"/>
      <c r="N972" s="6"/>
    </row>
    <row r="973" spans="2:14" ht="15.75" customHeight="1" x14ac:dyDescent="0.25">
      <c r="B973" s="6"/>
      <c r="D973" s="4"/>
      <c r="E973" s="4"/>
      <c r="L973" s="13"/>
      <c r="N973" s="6"/>
    </row>
    <row r="974" spans="2:14" ht="15.75" customHeight="1" x14ac:dyDescent="0.25">
      <c r="B974" s="6"/>
      <c r="D974" s="4"/>
      <c r="E974" s="4"/>
      <c r="L974" s="13"/>
      <c r="N974" s="6"/>
    </row>
    <row r="975" spans="2:14" ht="15.75" customHeight="1" x14ac:dyDescent="0.25">
      <c r="B975" s="6"/>
      <c r="D975" s="4"/>
      <c r="E975" s="4"/>
      <c r="L975" s="13"/>
      <c r="N975" s="6"/>
    </row>
    <row r="976" spans="2:14" ht="15.75" customHeight="1" x14ac:dyDescent="0.25">
      <c r="B976" s="6"/>
      <c r="D976" s="4"/>
      <c r="E976" s="4"/>
      <c r="L976" s="13"/>
      <c r="N976" s="6"/>
    </row>
    <row r="977" spans="2:14" ht="15.75" customHeight="1" x14ac:dyDescent="0.25">
      <c r="B977" s="6"/>
      <c r="D977" s="4"/>
      <c r="E977" s="4"/>
      <c r="L977" s="13"/>
      <c r="N977" s="6"/>
    </row>
    <row r="978" spans="2:14" ht="15.75" customHeight="1" x14ac:dyDescent="0.25">
      <c r="B978" s="6"/>
      <c r="D978" s="4"/>
      <c r="E978" s="4"/>
      <c r="L978" s="13"/>
      <c r="N978" s="6"/>
    </row>
    <row r="979" spans="2:14" ht="15.75" customHeight="1" x14ac:dyDescent="0.25">
      <c r="B979" s="6"/>
      <c r="D979" s="4"/>
      <c r="E979" s="4"/>
      <c r="L979" s="13"/>
      <c r="N979" s="6"/>
    </row>
    <row r="980" spans="2:14" ht="15.75" customHeight="1" x14ac:dyDescent="0.25">
      <c r="B980" s="6"/>
      <c r="D980" s="4"/>
      <c r="E980" s="4"/>
      <c r="L980" s="13"/>
      <c r="N980" s="6"/>
    </row>
    <row r="981" spans="2:14" ht="15.75" customHeight="1" x14ac:dyDescent="0.25">
      <c r="B981" s="6"/>
      <c r="D981" s="4"/>
      <c r="E981" s="4"/>
      <c r="L981" s="13"/>
      <c r="N981" s="6"/>
    </row>
    <row r="982" spans="2:14" ht="15.75" customHeight="1" x14ac:dyDescent="0.25">
      <c r="B982" s="6"/>
      <c r="D982" s="4"/>
      <c r="E982" s="4"/>
      <c r="L982" s="13"/>
      <c r="N982" s="6"/>
    </row>
    <row r="983" spans="2:14" ht="15.75" customHeight="1" x14ac:dyDescent="0.25">
      <c r="B983" s="6"/>
      <c r="D983" s="4"/>
      <c r="E983" s="4"/>
      <c r="L983" s="13"/>
      <c r="N983" s="6"/>
    </row>
    <row r="984" spans="2:14" ht="15.75" customHeight="1" x14ac:dyDescent="0.25">
      <c r="B984" s="6"/>
      <c r="D984" s="4"/>
      <c r="E984" s="4"/>
      <c r="L984" s="13"/>
      <c r="N984" s="6"/>
    </row>
    <row r="985" spans="2:14" ht="15.75" customHeight="1" x14ac:dyDescent="0.25">
      <c r="B985" s="6"/>
      <c r="D985" s="4"/>
      <c r="E985" s="4"/>
      <c r="L985" s="13"/>
      <c r="N985" s="6"/>
    </row>
    <row r="986" spans="2:14" ht="15.75" customHeight="1" x14ac:dyDescent="0.25">
      <c r="B986" s="6"/>
      <c r="D986" s="4"/>
      <c r="E986" s="4"/>
      <c r="L986" s="13"/>
      <c r="N986" s="6"/>
    </row>
    <row r="987" spans="2:14" ht="15.75" customHeight="1" x14ac:dyDescent="0.25">
      <c r="B987" s="6"/>
      <c r="D987" s="4"/>
      <c r="E987" s="4"/>
      <c r="L987" s="13"/>
      <c r="N987" s="6"/>
    </row>
    <row r="988" spans="2:14" ht="15.75" customHeight="1" x14ac:dyDescent="0.25">
      <c r="B988" s="6"/>
      <c r="D988" s="4"/>
      <c r="E988" s="4"/>
      <c r="L988" s="13"/>
      <c r="N988" s="6"/>
    </row>
    <row r="989" spans="2:14" ht="15.75" customHeight="1" x14ac:dyDescent="0.25">
      <c r="B989" s="6"/>
      <c r="D989" s="4"/>
      <c r="E989" s="4"/>
      <c r="L989" s="13"/>
      <c r="N989" s="6"/>
    </row>
    <row r="990" spans="2:14" ht="15.75" customHeight="1" x14ac:dyDescent="0.25">
      <c r="B990" s="6"/>
      <c r="D990" s="4"/>
      <c r="E990" s="4"/>
      <c r="L990" s="13"/>
      <c r="N990" s="6"/>
    </row>
    <row r="991" spans="2:14" ht="15.75" customHeight="1" x14ac:dyDescent="0.25">
      <c r="B991" s="6"/>
      <c r="D991" s="4"/>
      <c r="E991" s="4"/>
      <c r="L991" s="13"/>
      <c r="N991" s="6"/>
    </row>
    <row r="992" spans="2:14" ht="15.75" customHeight="1" x14ac:dyDescent="0.25">
      <c r="B992" s="6"/>
      <c r="D992" s="4"/>
      <c r="E992" s="4"/>
      <c r="L992" s="13"/>
      <c r="N992" s="6"/>
    </row>
    <row r="993" spans="2:14" ht="15.75" customHeight="1" x14ac:dyDescent="0.25">
      <c r="B993" s="6"/>
      <c r="D993" s="4"/>
      <c r="E993" s="4"/>
      <c r="L993" s="13"/>
      <c r="N993" s="6"/>
    </row>
    <row r="994" spans="2:14" ht="15.75" customHeight="1" x14ac:dyDescent="0.25">
      <c r="B994" s="6"/>
      <c r="D994" s="4"/>
      <c r="E994" s="4"/>
      <c r="L994" s="13"/>
      <c r="N994" s="6"/>
    </row>
    <row r="995" spans="2:14" ht="15.75" customHeight="1" x14ac:dyDescent="0.25">
      <c r="B995" s="6"/>
      <c r="D995" s="4"/>
      <c r="E995" s="4"/>
      <c r="L995" s="13"/>
      <c r="N995" s="6"/>
    </row>
    <row r="996" spans="2:14" ht="15.75" customHeight="1" x14ac:dyDescent="0.25">
      <c r="B996" s="6"/>
      <c r="D996" s="4"/>
      <c r="E996" s="4"/>
      <c r="L996" s="13"/>
      <c r="N996" s="6"/>
    </row>
    <row r="997" spans="2:14" ht="15.75" customHeight="1" x14ac:dyDescent="0.25">
      <c r="B997" s="6"/>
      <c r="D997" s="4"/>
      <c r="E997" s="4"/>
      <c r="L997" s="13"/>
      <c r="N997" s="6"/>
    </row>
    <row r="998" spans="2:14" ht="15.75" customHeight="1" x14ac:dyDescent="0.25">
      <c r="B998" s="6"/>
      <c r="D998" s="4"/>
      <c r="E998" s="4"/>
      <c r="L998" s="13"/>
      <c r="N998" s="6"/>
    </row>
    <row r="999" spans="2:14" ht="15.75" customHeight="1" x14ac:dyDescent="0.25">
      <c r="B999" s="6"/>
      <c r="D999" s="4"/>
      <c r="E999" s="4"/>
      <c r="L999" s="13"/>
      <c r="N999" s="6"/>
    </row>
    <row r="1000" spans="2:14" ht="15.75" customHeight="1" x14ac:dyDescent="0.25">
      <c r="B1000" s="6"/>
      <c r="D1000" s="4"/>
      <c r="E1000" s="4"/>
      <c r="L1000" s="13"/>
      <c r="N1000" s="6"/>
    </row>
  </sheetData>
  <autoFilter ref="A1:M314" xr:uid="{00000000-0009-0000-0000-000000000000}">
    <filterColumn colId="8">
      <filters>
        <filter val="FUNDACION CALIDAD DE VIDA Y ESPERANZA"/>
      </filters>
    </filterColumn>
  </autoFilter>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2025-11-03T00:28:11Z</dcterms:created>
  <dcterms:modified xsi:type="dcterms:W3CDTF">2025-11-06T04:04:28Z</dcterms:modified>
</cp:coreProperties>
</file>